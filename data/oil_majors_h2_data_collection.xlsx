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500" firstSheet="9" activeTab="11" autoFilterDateGrouping="1"/>
  </bookViews>
  <sheets>
    <sheet name="00_README" sheetId="1" state="visible" r:id="rId1"/>
    <sheet name="temp_concawe" sheetId="2" state="visible" r:id="rId2"/>
    <sheet name="01_Company_Overview" sheetId="3" state="visible" r:id="rId3"/>
    <sheet name="02_Refinery_Inventory" sheetId="4" state="visible" r:id="rId4"/>
    <sheet name="03_Current_H2_Demand" sheetId="5" state="visible" r:id="rId5"/>
    <sheet name="04_GreenH2_Projects" sheetId="6" state="visible" r:id="rId6"/>
    <sheet name="05_Renewable_Portfolio" sheetId="7" state="visible" r:id="rId7"/>
    <sheet name="06_PPAs" sheetId="8" state="visible" r:id="rId8"/>
    <sheet name="07_Decarb_Targets" sheetId="9" state="visible" r:id="rId9"/>
    <sheet name="08_Financial_Disclosures" sheetId="10" state="visible" r:id="rId10"/>
    <sheet name="09_Cost_Params_MC" sheetId="11" state="visible" r:id="rId11"/>
    <sheet name="10_Climate_Scenarios" sheetId="12" state="visible" r:id="rId12"/>
    <sheet name="11_Sources" sheetId="13" state="visible" r:id="rId13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##"/>
  </numFmts>
  <fonts count="37">
    <font>
      <name val="Calibri"/>
      <charset val="1"/>
      <family val="2"/>
      <color theme="1"/>
      <sz val="11"/>
    </font>
    <font>
      <name val="Arial"/>
      <charset val="1"/>
      <b val="1"/>
      <color rgb="FF1F4E78"/>
      <sz val="16"/>
    </font>
    <font>
      <name val="Arial"/>
      <charset val="1"/>
      <i val="1"/>
      <sz val="12"/>
    </font>
    <font>
      <name val="Arial"/>
      <charset val="1"/>
      <i val="1"/>
      <color rgb="FF595959"/>
      <sz val="10"/>
    </font>
    <font>
      <name val="Arial"/>
      <charset val="1"/>
      <b val="1"/>
      <color rgb="FF1F4E78"/>
      <sz val="12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family val="2"/>
      <color rgb="FF000000"/>
      <sz val="9.35"/>
    </font>
    <font>
      <name val="Arial"/>
      <charset val="1"/>
      <b val="1"/>
      <color rgb="FFFFFFFF"/>
      <sz val="11"/>
    </font>
    <font>
      <name val="Arial"/>
      <charset val="1"/>
      <b val="1"/>
      <color rgb="FF000000"/>
      <sz val="10"/>
    </font>
    <font>
      <name val="Arial"/>
      <charset val="1"/>
      <color rgb="FF000000"/>
      <sz val="10"/>
    </font>
    <font>
      <name val="Arial"/>
      <charset val="1"/>
      <color rgb="FF0000FF"/>
      <sz val="10"/>
    </font>
    <font>
      <name val="Arial"/>
      <charset val="1"/>
      <color rgb="FF0000FF"/>
      <sz val="11"/>
    </font>
    <font>
      <name val="Arial"/>
      <charset val="1"/>
      <i val="1"/>
      <color rgb="FF595959"/>
      <sz val="9"/>
    </font>
    <font>
      <name val="Calibri"/>
      <charset val="1"/>
      <family val="2"/>
      <color theme="1"/>
      <sz val="11"/>
    </font>
    <font>
      <name val="Calibri"/>
      <b val="1"/>
      <color rgb="FFFFFFFF"/>
      <sz val="9"/>
    </font>
    <font>
      <name val="Calibri"/>
      <b val="1"/>
      <sz val="9"/>
    </font>
    <font>
      <name val="Calibri"/>
      <sz val="9"/>
    </font>
    <font>
      <name val="Calibri"/>
      <color rgb="FF0070C0"/>
      <sz val="9"/>
    </font>
    <font>
      <name val="Calibri"/>
      <b val="1"/>
      <color rgb="FFFFFFFF"/>
      <sz val="10"/>
    </font>
    <font>
      <name val="Calibri"/>
      <b val="1"/>
      <color rgb="FF1F4E79"/>
      <sz val="9"/>
    </font>
    <font>
      <name val="Calibri"/>
      <b val="1"/>
      <sz val="10"/>
    </font>
    <font>
      <name val="Calibri"/>
      <sz val="10"/>
    </font>
    <font>
      <name val="Calibri"/>
      <color rgb="FF0070C0"/>
      <sz val="10"/>
    </font>
    <font>
      <name val="Calibri"/>
      <i val="1"/>
      <color rgb="FF7F7F7F"/>
      <sz val="10"/>
    </font>
    <font>
      <name val="Calibri"/>
      <family val="2"/>
      <sz val="9"/>
    </font>
    <font>
      <name val="Calibri"/>
      <b val="1"/>
      <color rgb="FFC00000"/>
      <sz val="9"/>
    </font>
    <font>
      <name val="Calibri"/>
      <family val="2"/>
      <color rgb="FF0070C0"/>
      <sz val="9"/>
    </font>
    <font>
      <name val="Calibri"/>
      <family val="2"/>
      <b val="1"/>
      <color rgb="FF1F4E79"/>
      <sz val="12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9"/>
    </font>
    <font>
      <name val="Calibri"/>
      <family val="2"/>
      <b val="1"/>
      <i val="1"/>
      <color rgb="FF1F4E79"/>
      <sz val="9"/>
    </font>
    <font>
      <name val="Calibri"/>
      <family val="2"/>
      <b val="1"/>
      <sz val="9"/>
    </font>
    <font>
      <name val="Calibri"/>
      <family val="2"/>
      <b val="1"/>
      <color rgb="FF375623"/>
      <sz val="9"/>
    </font>
    <font>
      <name val="Calibri"/>
      <b val="1"/>
      <i val="1"/>
      <color rgb="FF1F4E79"/>
      <sz val="9"/>
    </font>
    <font>
      <name val="Calibri"/>
      <i val="1"/>
      <color rgb="FF595959"/>
      <sz val="9"/>
    </font>
    <font>
      <name val="Calibri"/>
      <b val="1"/>
      <color rgb="FF375623"/>
      <sz val="9"/>
    </font>
  </fonts>
  <fills count="14">
    <fill>
      <patternFill/>
    </fill>
    <fill>
      <patternFill patternType="gray125"/>
    </fill>
    <fill>
      <patternFill patternType="solid">
        <fgColor rgb="FFE2EFDA"/>
        <bgColor rgb="FFEEEEEE"/>
      </patternFill>
    </fill>
    <fill>
      <patternFill patternType="solid">
        <fgColor rgb="FFF2F2F2"/>
        <bgColor rgb="FFEEEEEE"/>
      </patternFill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</patternFill>
    </fill>
    <fill>
      <patternFill patternType="solid">
        <fgColor rgb="FF1F4E79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theme="6" tint="0.7999816888943144"/>
        <bgColor indexed="64"/>
      </patternFill>
    </fill>
  </fills>
  <borders count="10">
    <border>
      <left/>
      <right/>
      <top/>
      <bottom/>
      <diagonal/>
    </border>
    <border>
      <left style="medium">
        <color rgb="FFEEEEEE"/>
      </left>
      <right/>
      <top style="medium">
        <color rgb="FFEEEEEE"/>
      </top>
      <bottom/>
      <diagonal/>
    </border>
    <border>
      <left/>
      <right/>
      <top style="medium">
        <color rgb="FFEEEEEE"/>
      </top>
      <bottom/>
      <diagonal/>
    </border>
    <border>
      <left/>
      <right style="medium">
        <color rgb="FFEEEEEE"/>
      </right>
      <top style="medium">
        <color rgb="FFEEEEEE"/>
      </top>
      <bottom/>
      <diagonal/>
    </border>
    <border>
      <left style="medium">
        <color rgb="FFEEEEEE"/>
      </left>
      <right/>
      <top/>
      <bottom/>
      <diagonal/>
    </border>
    <border>
      <left/>
      <right style="medium">
        <color rgb="FFEEEEEE"/>
      </right>
      <top/>
      <bottom/>
      <diagonal/>
    </border>
    <border>
      <left style="medium">
        <color rgb="FFEEEEEE"/>
      </left>
      <right/>
      <top/>
      <bottom style="medium">
        <color rgb="FFEEEEEE"/>
      </bottom>
      <diagonal/>
    </border>
    <border>
      <left/>
      <right/>
      <top/>
      <bottom style="medium">
        <color rgb="FFEEEEEE"/>
      </bottom>
      <diagonal/>
    </border>
    <border>
      <left/>
      <right style="medium">
        <color rgb="FFEEEEEE"/>
      </right>
      <top/>
      <bottom style="medium">
        <color rgb="FFEEEEEE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14" fillId="0" borderId="0"/>
    <xf numFmtId="9" fontId="14" fillId="0" borderId="0"/>
  </cellStyleXfs>
  <cellXfs count="102">
    <xf numFmtId="0" fontId="0" fillId="0" borderId="0" pivotButton="0" quotePrefix="0" xfId="0"/>
    <xf numFmtId="0" fontId="5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vertical="center"/>
    </xf>
    <xf numFmtId="0" fontId="7" fillId="3" borderId="2" applyAlignment="1" pivotButton="0" quotePrefix="0" xfId="0">
      <alignment vertical="center"/>
    </xf>
    <xf numFmtId="0" fontId="7" fillId="3" borderId="3" applyAlignment="1" pivotButton="0" quotePrefix="0" xfId="0">
      <alignment vertical="center"/>
    </xf>
    <xf numFmtId="0" fontId="7" fillId="3" borderId="4" applyAlignment="1" pivotButton="0" quotePrefix="0" xfId="0">
      <alignment vertical="center"/>
    </xf>
    <xf numFmtId="0" fontId="7" fillId="3" borderId="0" applyAlignment="1" pivotButton="0" quotePrefix="0" xfId="0">
      <alignment vertical="center"/>
    </xf>
    <xf numFmtId="0" fontId="7" fillId="3" borderId="5" applyAlignment="1" pivotButton="0" quotePrefix="0" xfId="0">
      <alignment vertical="center"/>
    </xf>
    <xf numFmtId="0" fontId="7" fillId="3" borderId="6" applyAlignment="1" pivotButton="0" quotePrefix="0" xfId="0">
      <alignment vertical="center"/>
    </xf>
    <xf numFmtId="0" fontId="7" fillId="3" borderId="7" applyAlignment="1" pivotButton="0" quotePrefix="0" xfId="0">
      <alignment vertical="center"/>
    </xf>
    <xf numFmtId="0" fontId="7" fillId="3" borderId="8" applyAlignment="1" pivotButton="0" quotePrefix="0" xfId="0">
      <alignment vertical="center"/>
    </xf>
    <xf numFmtId="0" fontId="8" fillId="4" borderId="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left" vertical="center" wrapText="1"/>
    </xf>
    <xf numFmtId="0" fontId="10" fillId="0" borderId="9" applyAlignment="1" pivotButton="0" quotePrefix="0" xfId="0">
      <alignment horizontal="left" vertical="center" wrapText="1"/>
    </xf>
    <xf numFmtId="0" fontId="11" fillId="5" borderId="9" applyAlignment="1" pivotButton="0" quotePrefix="0" xfId="0">
      <alignment horizontal="left" vertical="center" wrapText="1"/>
    </xf>
    <xf numFmtId="0" fontId="12" fillId="5" borderId="9" applyAlignment="1" pivotButton="0" quotePrefix="0" xfId="0">
      <alignment horizontal="left" vertical="center" wrapText="1"/>
    </xf>
    <xf numFmtId="0" fontId="15" fillId="7" borderId="9" applyAlignment="1" pivotButton="0" quotePrefix="0" xfId="0">
      <alignment horizontal="center" vertical="center" wrapText="1"/>
    </xf>
    <xf numFmtId="0" fontId="16" fillId="8" borderId="9" applyAlignment="1" pivotButton="0" quotePrefix="0" xfId="0">
      <alignment horizontal="left" vertical="center" wrapText="1"/>
    </xf>
    <xf numFmtId="0" fontId="17" fillId="8" borderId="9" applyAlignment="1" pivotButton="0" quotePrefix="0" xfId="0">
      <alignment horizontal="center" vertical="center" wrapText="1"/>
    </xf>
    <xf numFmtId="0" fontId="18" fillId="8" borderId="9" applyAlignment="1" pivotButton="0" quotePrefix="0" xfId="0">
      <alignment horizontal="center" vertical="center" wrapText="1"/>
    </xf>
    <xf numFmtId="0" fontId="17" fillId="8" borderId="9" applyAlignment="1" pivotButton="0" quotePrefix="0" xfId="0">
      <alignment horizontal="left" vertical="center" wrapText="1"/>
    </xf>
    <xf numFmtId="0" fontId="19" fillId="7" borderId="9" applyAlignment="1" pivotButton="0" quotePrefix="0" xfId="0">
      <alignment horizontal="center" vertical="center" wrapText="1"/>
    </xf>
    <xf numFmtId="0" fontId="20" fillId="9" borderId="9" applyAlignment="1" pivotButton="0" quotePrefix="0" xfId="0">
      <alignment horizontal="left" vertical="center" wrapText="1"/>
    </xf>
    <xf numFmtId="0" fontId="20" fillId="9" borderId="9" pivotButton="0" quotePrefix="0" xfId="0"/>
    <xf numFmtId="0" fontId="21" fillId="10" borderId="9" applyAlignment="1" pivotButton="0" quotePrefix="0" xfId="0">
      <alignment horizontal="left" vertical="center" wrapText="1"/>
    </xf>
    <xf numFmtId="0" fontId="22" fillId="10" borderId="9" applyAlignment="1" pivotButton="0" quotePrefix="0" xfId="0">
      <alignment horizontal="left" vertical="center" wrapText="1"/>
    </xf>
    <xf numFmtId="164" fontId="23" fillId="10" borderId="9" applyAlignment="1" pivotButton="0" quotePrefix="0" xfId="0">
      <alignment horizontal="center" vertical="center" wrapText="1"/>
    </xf>
    <xf numFmtId="1" fontId="23" fillId="10" borderId="9" applyAlignment="1" pivotButton="0" quotePrefix="0" xfId="0">
      <alignment horizontal="center" vertical="center" wrapText="1"/>
    </xf>
    <xf numFmtId="0" fontId="22" fillId="10" borderId="9" applyAlignment="1" pivotButton="0" quotePrefix="0" xfId="0">
      <alignment horizontal="center" vertical="center" wrapText="1"/>
    </xf>
    <xf numFmtId="0" fontId="23" fillId="10" borderId="9" applyAlignment="1" pivotButton="0" quotePrefix="0" xfId="0">
      <alignment horizontal="center" vertical="center" wrapText="1"/>
    </xf>
    <xf numFmtId="0" fontId="21" fillId="11" borderId="9" applyAlignment="1" pivotButton="0" quotePrefix="0" xfId="0">
      <alignment horizontal="left" vertical="center" wrapText="1"/>
    </xf>
    <xf numFmtId="0" fontId="22" fillId="11" borderId="9" applyAlignment="1" pivotButton="0" quotePrefix="0" xfId="0">
      <alignment horizontal="left" vertical="center" wrapText="1"/>
    </xf>
    <xf numFmtId="164" fontId="23" fillId="11" borderId="9" applyAlignment="1" pivotButton="0" quotePrefix="0" xfId="0">
      <alignment horizontal="center" vertical="center" wrapText="1"/>
    </xf>
    <xf numFmtId="1" fontId="24" fillId="11" borderId="9" applyAlignment="1" pivotButton="0" quotePrefix="0" xfId="0">
      <alignment horizontal="center" vertical="center" wrapText="1"/>
    </xf>
    <xf numFmtId="0" fontId="22" fillId="11" borderId="9" applyAlignment="1" pivotButton="0" quotePrefix="0" xfId="0">
      <alignment horizontal="center" vertical="center" wrapText="1"/>
    </xf>
    <xf numFmtId="0" fontId="21" fillId="12" borderId="9" applyAlignment="1" pivotButton="0" quotePrefix="0" xfId="0">
      <alignment horizontal="left" vertical="center" wrapText="1"/>
    </xf>
    <xf numFmtId="0" fontId="22" fillId="12" borderId="9" applyAlignment="1" pivotButton="0" quotePrefix="0" xfId="0">
      <alignment horizontal="left" vertical="center" wrapText="1"/>
    </xf>
    <xf numFmtId="164" fontId="23" fillId="12" borderId="9" applyAlignment="1" pivotButton="0" quotePrefix="0" xfId="0">
      <alignment horizontal="center" vertical="center" wrapText="1"/>
    </xf>
    <xf numFmtId="0" fontId="23" fillId="12" borderId="9" applyAlignment="1" pivotButton="0" quotePrefix="0" xfId="0">
      <alignment horizontal="center" vertical="center" wrapText="1"/>
    </xf>
    <xf numFmtId="1" fontId="23" fillId="12" borderId="9" applyAlignment="1" pivotButton="0" quotePrefix="0" xfId="0">
      <alignment horizontal="center" vertical="center" wrapText="1"/>
    </xf>
    <xf numFmtId="0" fontId="22" fillId="12" borderId="9" applyAlignment="1" pivotButton="0" quotePrefix="0" xfId="0">
      <alignment horizontal="center" vertical="center" wrapText="1"/>
    </xf>
    <xf numFmtId="0" fontId="19" fillId="7" borderId="9" applyAlignment="1" pivotButton="0" quotePrefix="0" xfId="0">
      <alignment horizontal="left" vertical="center" wrapText="1"/>
    </xf>
    <xf numFmtId="164" fontId="19" fillId="7" borderId="9" applyAlignment="1" pivotButton="0" quotePrefix="0" xfId="0">
      <alignment horizontal="center" vertical="center" wrapText="1"/>
    </xf>
    <xf numFmtId="1" fontId="19" fillId="7" borderId="9" applyAlignment="1" pivotButton="0" quotePrefix="0" xfId="0">
      <alignment horizontal="center" vertical="center" wrapText="1"/>
    </xf>
    <xf numFmtId="0" fontId="16" fillId="6" borderId="9" applyAlignment="1" pivotButton="0" quotePrefix="0" xfId="0">
      <alignment horizontal="left" vertical="center" wrapText="1"/>
    </xf>
    <xf numFmtId="0" fontId="17" fillId="6" borderId="9" applyAlignment="1" pivotButton="0" quotePrefix="0" xfId="0">
      <alignment horizontal="left" vertical="center" wrapText="1"/>
    </xf>
    <xf numFmtId="9" fontId="18" fillId="6" borderId="9" applyAlignment="1" pivotButton="0" quotePrefix="0" xfId="1">
      <alignment horizontal="center" vertical="center" wrapText="1"/>
    </xf>
    <xf numFmtId="0" fontId="18" fillId="6" borderId="9" applyAlignment="1" pivotButton="0" quotePrefix="0" xfId="0">
      <alignment horizontal="center" vertical="center" wrapText="1"/>
    </xf>
    <xf numFmtId="164" fontId="18" fillId="6" borderId="9" applyAlignment="1" pivotButton="0" quotePrefix="0" xfId="0">
      <alignment horizontal="center" vertical="center" wrapText="1"/>
    </xf>
    <xf numFmtId="0" fontId="17" fillId="6" borderId="9" applyAlignment="1" pivotButton="0" quotePrefix="0" xfId="0">
      <alignment horizontal="center" vertical="center" wrapText="1"/>
    </xf>
    <xf numFmtId="0" fontId="25" fillId="6" borderId="9" applyAlignment="1" pivotButton="0" quotePrefix="0" xfId="0">
      <alignment horizontal="left" vertical="center" wrapText="1"/>
    </xf>
    <xf numFmtId="0" fontId="0" fillId="0" borderId="9" pivotButton="0" quotePrefix="0" xfId="0"/>
    <xf numFmtId="9" fontId="18" fillId="6" borderId="9" applyAlignment="1" pivotButton="0" quotePrefix="0" xfId="0">
      <alignment horizontal="center" vertical="center" wrapText="1"/>
    </xf>
    <xf numFmtId="0" fontId="25" fillId="8" borderId="9" applyAlignment="1" pivotButton="0" quotePrefix="0" xfId="0">
      <alignment horizontal="center" vertical="center" wrapText="1"/>
    </xf>
    <xf numFmtId="164" fontId="18" fillId="8" borderId="9" applyAlignment="1" pivotButton="0" quotePrefix="0" xfId="0">
      <alignment horizontal="center" vertical="center" wrapText="1"/>
    </xf>
    <xf numFmtId="0" fontId="26" fillId="8" borderId="9" pivotButton="0" quotePrefix="0" xfId="0"/>
    <xf numFmtId="0" fontId="25" fillId="8" borderId="9" applyAlignment="1" pivotButton="0" quotePrefix="0" xfId="0">
      <alignment horizontal="left" vertical="center" wrapText="1"/>
    </xf>
    <xf numFmtId="1" fontId="18" fillId="8" borderId="9" applyAlignment="1" pivotButton="0" quotePrefix="0" xfId="0">
      <alignment horizontal="center" vertical="center" wrapText="1"/>
    </xf>
    <xf numFmtId="164" fontId="27" fillId="8" borderId="9" applyAlignment="1" pivotButton="0" quotePrefix="0" xfId="0">
      <alignment horizontal="center" vertical="center" wrapText="1"/>
    </xf>
    <xf numFmtId="0" fontId="27" fillId="8" borderId="9" applyAlignment="1" pivotButton="0" quotePrefix="0" xfId="0">
      <alignment horizontal="center" vertical="center" wrapText="1"/>
    </xf>
    <xf numFmtId="0" fontId="0" fillId="8" borderId="0" pivotButton="0" quotePrefix="0" xfId="0"/>
    <xf numFmtId="0" fontId="6" fillId="0" borderId="0" applyAlignment="1" pivotButton="0" quotePrefix="0" xfId="0">
      <alignment horizontal="left" vertical="top" wrapText="1"/>
    </xf>
    <xf numFmtId="0" fontId="4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3" fillId="0" borderId="0" pivotButton="0" quotePrefix="0" xfId="0"/>
    <xf numFmtId="0" fontId="28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29" fillId="0" borderId="0" applyAlignment="1" pivotButton="0" quotePrefix="0" xfId="0">
      <alignment horizontal="left" vertical="center" wrapText="1"/>
    </xf>
    <xf numFmtId="0" fontId="30" fillId="7" borderId="9" applyAlignment="1" pivotButton="0" quotePrefix="0" xfId="0">
      <alignment horizontal="center" vertical="center" wrapText="1"/>
    </xf>
    <xf numFmtId="0" fontId="31" fillId="9" borderId="9" applyAlignment="1" pivotButton="0" quotePrefix="0" xfId="0">
      <alignment horizontal="left" vertical="center" wrapText="1"/>
    </xf>
    <xf numFmtId="0" fontId="31" fillId="9" borderId="9" pivotButton="0" quotePrefix="0" xfId="0"/>
    <xf numFmtId="0" fontId="32" fillId="12" borderId="9" applyAlignment="1" pivotButton="0" quotePrefix="0" xfId="0">
      <alignment horizontal="left" vertical="center" wrapText="1"/>
    </xf>
    <xf numFmtId="0" fontId="25" fillId="12" borderId="9" applyAlignment="1" pivotButton="0" quotePrefix="0" xfId="0">
      <alignment horizontal="center" vertical="center" wrapText="1"/>
    </xf>
    <xf numFmtId="165" fontId="27" fillId="12" borderId="9" applyAlignment="1" pivotButton="0" quotePrefix="0" xfId="0">
      <alignment horizontal="center" vertical="center" wrapText="1"/>
    </xf>
    <xf numFmtId="0" fontId="25" fillId="12" borderId="9" applyAlignment="1" pivotButton="0" quotePrefix="0" xfId="0">
      <alignment horizontal="left" vertical="center" wrapText="1"/>
    </xf>
    <xf numFmtId="0" fontId="33" fillId="12" borderId="9" applyAlignment="1" pivotButton="0" quotePrefix="0" xfId="0">
      <alignment horizontal="center" vertical="center" wrapText="1"/>
    </xf>
    <xf numFmtId="0" fontId="32" fillId="11" borderId="9" applyAlignment="1" pivotButton="0" quotePrefix="0" xfId="0">
      <alignment horizontal="left" vertical="center" wrapText="1"/>
    </xf>
    <xf numFmtId="0" fontId="25" fillId="11" borderId="9" applyAlignment="1" pivotButton="0" quotePrefix="0" xfId="0">
      <alignment horizontal="center" vertical="center" wrapText="1"/>
    </xf>
    <xf numFmtId="165" fontId="27" fillId="11" borderId="9" applyAlignment="1" pivotButton="0" quotePrefix="0" xfId="0">
      <alignment horizontal="center" vertical="center" wrapText="1"/>
    </xf>
    <xf numFmtId="0" fontId="25" fillId="11" borderId="9" applyAlignment="1" pivotButton="0" quotePrefix="0" xfId="0">
      <alignment horizontal="left" vertical="center" wrapText="1"/>
    </xf>
    <xf numFmtId="0" fontId="27" fillId="11" borderId="9" applyAlignment="1" pivotButton="0" quotePrefix="0" xfId="0">
      <alignment horizontal="center" vertical="center" wrapText="1"/>
    </xf>
    <xf numFmtId="0" fontId="32" fillId="13" borderId="9" applyAlignment="1" pivotButton="0" quotePrefix="0" xfId="0">
      <alignment horizontal="left" vertical="center" wrapText="1"/>
    </xf>
    <xf numFmtId="0" fontId="25" fillId="13" borderId="9" applyAlignment="1" pivotButton="0" quotePrefix="0" xfId="0">
      <alignment horizontal="center" vertical="center" wrapText="1"/>
    </xf>
    <xf numFmtId="165" fontId="27" fillId="13" borderId="9" applyAlignment="1" pivotButton="0" quotePrefix="0" xfId="0">
      <alignment horizontal="center" vertical="center" wrapText="1"/>
    </xf>
    <xf numFmtId="0" fontId="25" fillId="13" borderId="9" applyAlignment="1" pivotButton="0" quotePrefix="0" xfId="0">
      <alignment horizontal="left" vertical="center" wrapText="1"/>
    </xf>
    <xf numFmtId="0" fontId="34" fillId="9" borderId="9" applyAlignment="1" pivotButton="0" quotePrefix="0" xfId="0">
      <alignment horizontal="left" vertical="center" wrapText="1"/>
    </xf>
    <xf numFmtId="0" fontId="34" fillId="9" borderId="9" pivotButton="0" quotePrefix="0" xfId="0"/>
    <xf numFmtId="0" fontId="16" fillId="6" borderId="9" applyAlignment="1" pivotButton="0" quotePrefix="0" xfId="0">
      <alignment horizontal="center" vertical="center" wrapText="1"/>
    </xf>
    <xf numFmtId="0" fontId="35" fillId="6" borderId="9" applyAlignment="1" pivotButton="0" quotePrefix="0" xfId="0">
      <alignment horizontal="center" vertical="center" wrapText="1"/>
    </xf>
    <xf numFmtId="0" fontId="16" fillId="12" borderId="9" applyAlignment="1" pivotButton="0" quotePrefix="0" xfId="0">
      <alignment horizontal="center" vertical="center" wrapText="1"/>
    </xf>
    <xf numFmtId="0" fontId="16" fillId="12" borderId="9" applyAlignment="1" pivotButton="0" quotePrefix="0" xfId="0">
      <alignment horizontal="left" vertical="center" wrapText="1"/>
    </xf>
    <xf numFmtId="0" fontId="17" fillId="12" borderId="9" applyAlignment="1" pivotButton="0" quotePrefix="0" xfId="0">
      <alignment horizontal="center" vertical="center" wrapText="1"/>
    </xf>
    <xf numFmtId="0" fontId="18" fillId="12" borderId="9" applyAlignment="1" pivotButton="0" quotePrefix="0" xfId="0">
      <alignment horizontal="center" vertical="center" wrapText="1"/>
    </xf>
    <xf numFmtId="0" fontId="17" fillId="12" borderId="9" applyAlignment="1" pivotButton="0" quotePrefix="0" xfId="0">
      <alignment horizontal="left" vertical="center" wrapText="1"/>
    </xf>
    <xf numFmtId="0" fontId="36" fillId="12" borderId="9" applyAlignment="1" pivotButton="0" quotePrefix="0" xfId="0">
      <alignment horizontal="center" vertical="center" wrapText="1"/>
    </xf>
    <xf numFmtId="0" fontId="16" fillId="13" borderId="9" applyAlignment="1" pivotButton="0" quotePrefix="0" xfId="0">
      <alignment horizontal="center" vertical="center" wrapText="1"/>
    </xf>
    <xf numFmtId="0" fontId="16" fillId="13" borderId="9" applyAlignment="1" pivotButton="0" quotePrefix="0" xfId="0">
      <alignment horizontal="left" vertical="center" wrapText="1"/>
    </xf>
    <xf numFmtId="0" fontId="17" fillId="13" borderId="9" applyAlignment="1" pivotButton="0" quotePrefix="0" xfId="0">
      <alignment horizontal="center" vertical="center" wrapText="1"/>
    </xf>
    <xf numFmtId="0" fontId="18" fillId="13" borderId="9" applyAlignment="1" pivotButton="0" quotePrefix="0" xfId="0">
      <alignment horizontal="center" vertical="center" wrapText="1"/>
    </xf>
    <xf numFmtId="0" fontId="17" fillId="13" borderId="9" applyAlignment="1" pivotButton="0" quotePrefix="0" xfId="0">
      <alignment horizontal="left" vertical="center" wrapText="1"/>
    </xf>
  </cellXfs>
  <cellStyles count="2">
    <cellStyle name="Normal" xfId="0" builtinId="0"/>
    <cellStyle name="Percentagem" xfId="1" builtinId="5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EEE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2"/>
  <sheetViews>
    <sheetView topLeftCell="A3" zoomScaleNormal="100" workbookViewId="0">
      <selection activeCell="A1" sqref="A1:F1"/>
    </sheetView>
  </sheetViews>
  <sheetFormatPr baseColWidth="8" defaultColWidth="8.6640625" defaultRowHeight="14.4"/>
  <cols>
    <col width="22" customWidth="1" style="68" min="1" max="1"/>
    <col width="30" customWidth="1" style="68" min="2" max="6"/>
  </cols>
  <sheetData>
    <row r="1" ht="24" customHeight="1" s="68">
      <c r="A1" s="63" t="inlineStr">
        <is>
          <t>DATA COLLECTION WORKBOOK</t>
        </is>
      </c>
    </row>
    <row r="2" ht="15" customHeight="1" s="68">
      <c r="A2" s="64" t="inlineStr">
        <is>
          <t>Article 4 — Paris-aligned green hydrogen pathways for European oil majors</t>
        </is>
      </c>
    </row>
    <row r="3">
      <c r="A3" s="65" t="inlineStr">
        <is>
          <t>Author: Ernesto Relógio | Universidade de Aveiro | Doutoramento em Sistemas Energéticos e Alterações Climáticas</t>
        </is>
      </c>
    </row>
    <row r="6" ht="15" customHeight="1" s="68">
      <c r="A6" s="62" t="inlineStr">
        <is>
          <t>PURPOSE</t>
        </is>
      </c>
    </row>
    <row r="8" ht="15" customHeight="1" s="68">
      <c r="A8" s="62" t="inlineStr">
        <is>
          <t>SHEET MAP</t>
        </is>
      </c>
    </row>
    <row r="9" ht="15" customHeight="1" s="68">
      <c r="A9" s="1" t="inlineStr">
        <is>
          <t>00_README</t>
        </is>
      </c>
      <c r="B9" s="61" t="inlineStr">
        <is>
          <t>This sheet — instructions, conventions, abbreviations.</t>
        </is>
      </c>
    </row>
    <row r="10" ht="15" customHeight="1" s="68">
      <c r="A10" s="1" t="inlineStr">
        <is>
          <t>01_Company_Overview</t>
        </is>
      </c>
      <c r="B10" s="61" t="inlineStr">
        <is>
          <t>One row per major. Snapshot of strategy, capex, current H₂ demand.</t>
        </is>
      </c>
    </row>
    <row r="11" ht="15" customHeight="1" s="68">
      <c r="A11" s="1" t="inlineStr">
        <is>
          <t>02_Refinery_Inventory</t>
        </is>
      </c>
      <c r="B11" s="61" t="inlineStr">
        <is>
          <t>One row per refinery owned/operated by each major in Europe.</t>
        </is>
      </c>
    </row>
    <row r="12" ht="15" customHeight="1" s="68">
      <c r="A12" s="1" t="inlineStr">
        <is>
          <t>03_Current_H2_Demand</t>
        </is>
      </c>
      <c r="B12" s="61" t="inlineStr">
        <is>
          <t>Current grey/blue H₂ consumption by refinery — baseline for decarbonisation.</t>
        </is>
      </c>
    </row>
    <row r="13" ht="15" customHeight="1" s="68">
      <c r="A13" s="1" t="inlineStr">
        <is>
          <t>04_GreenH2_Projects</t>
        </is>
      </c>
      <c r="B13" s="61" t="inlineStr">
        <is>
          <t>Announced &amp; operational green H₂ projects: capacity, CAPEX, COD, status.</t>
        </is>
      </c>
    </row>
    <row r="14" ht="15" customHeight="1" s="68">
      <c r="A14" s="1" t="inlineStr">
        <is>
          <t>05_Renewable_Portfolio</t>
        </is>
      </c>
      <c r="B14" s="61" t="inlineStr">
        <is>
          <t>Installed + pipeline renewables (solar, onshore/offshore wind) by country.</t>
        </is>
      </c>
    </row>
    <row r="15" ht="15" customHeight="1" s="68">
      <c r="A15" s="1" t="inlineStr">
        <is>
          <t>06_PPAs</t>
        </is>
      </c>
      <c r="B15" s="61" t="inlineStr">
        <is>
          <t>Power purchase agreements signed by each major (counterparty, MW, term, price).</t>
        </is>
      </c>
    </row>
    <row r="16" ht="15" customHeight="1" s="68">
      <c r="A16" s="1" t="inlineStr">
        <is>
          <t>07_Decarb_Targets</t>
        </is>
      </c>
      <c r="B16" s="61" t="inlineStr">
        <is>
          <t>Scope 1/2/3 baseline, interim targets, net-zero year, internal carbon price.</t>
        </is>
      </c>
    </row>
    <row r="17" ht="23.25" customHeight="1" s="68">
      <c r="A17" s="1" t="inlineStr">
        <is>
          <t>08_Financial_Disclosures</t>
        </is>
      </c>
      <c r="B17" s="61" t="inlineStr">
        <is>
          <t>Total CAPEX, low-carbon CAPEX share, energy transition spend.</t>
        </is>
      </c>
    </row>
    <row r="18" ht="15" customHeight="1" s="68">
      <c r="A18" s="1" t="inlineStr">
        <is>
          <t>09_Cost_Params_MC</t>
        </is>
      </c>
      <c r="B18" s="61" t="inlineStr">
        <is>
          <t>Technology cost ranges (min/mode/max) for Monte Carlo simulation.</t>
        </is>
      </c>
    </row>
    <row r="19" ht="15" customHeight="1" s="68">
      <c r="A19" s="1" t="inlineStr">
        <is>
          <t>10_Climate_Scenarios</t>
        </is>
      </c>
      <c r="B19" s="61" t="inlineStr">
        <is>
          <t>IEA STEPS / APS / NZE trajectories: carbon price, electricity price, grid CO₂ intensity.</t>
        </is>
      </c>
    </row>
    <row r="20" ht="15" customHeight="1" s="68">
      <c r="A20" s="1" t="inlineStr">
        <is>
          <t>11_Sources</t>
        </is>
      </c>
      <c r="B20" s="61" t="inlineStr">
        <is>
          <t>Master citation table. Every Source_ID used elsewhere must appear here.</t>
        </is>
      </c>
    </row>
    <row r="22" ht="15" customHeight="1" s="68">
      <c r="A22" s="62" t="inlineStr">
        <is>
          <t>COLOUR CONVENTIONS</t>
        </is>
      </c>
    </row>
    <row r="23" ht="15" customHeight="1" s="68">
      <c r="A23" s="1" t="inlineStr">
        <is>
          <t>Yellow + blue text</t>
        </is>
      </c>
      <c r="B23" s="61" t="inlineStr">
        <is>
          <t>Input cell — manual entry from a primary source. Must have a Source_ID.</t>
        </is>
      </c>
    </row>
    <row r="24" ht="15" customHeight="1" s="68">
      <c r="A24" s="1" t="inlineStr">
        <is>
          <t>Black text</t>
        </is>
      </c>
      <c r="B24" s="61" t="inlineStr">
        <is>
          <t>Formula or calculated value — do not overwrite.</t>
        </is>
      </c>
    </row>
    <row r="25" ht="15" customHeight="1" s="68">
      <c r="A25" s="1" t="inlineStr">
        <is>
          <t>Light green</t>
        </is>
      </c>
      <c r="B25" s="61" t="inlineStr">
        <is>
          <t>Instructional note or category header within a sheet.</t>
        </is>
      </c>
    </row>
    <row r="26" ht="15" customHeight="1" s="68">
      <c r="A26" s="1" t="inlineStr">
        <is>
          <t>Dark blue header</t>
        </is>
      </c>
      <c r="B26" s="61" t="inlineStr">
        <is>
          <t>Column header.</t>
        </is>
      </c>
    </row>
    <row r="28" ht="15" customHeight="1" s="68">
      <c r="A28" s="62" t="inlineStr">
        <is>
          <t>WORKFLOW</t>
        </is>
      </c>
    </row>
    <row r="29" ht="15" customHeight="1" s="68">
      <c r="A29" s="1" t="inlineStr">
        <is>
          <t>Step 1</t>
        </is>
      </c>
      <c r="B29" s="61" t="inlineStr">
        <is>
          <t>For each major, locate the latest annual report, sustainability/transition report, CDP disclosure, and TCFD report. Register each in '11_Sources' BEFORE entering any data.</t>
        </is>
      </c>
    </row>
    <row r="30" ht="15" customHeight="1" s="68">
      <c r="A30" s="1" t="inlineStr">
        <is>
          <t>Step 2</t>
        </is>
      </c>
      <c r="B30" s="61" t="inlineStr">
        <is>
          <t>Fill '01_Company_Overview' as a triage — gives you a fast snapshot of data availability per firm.</t>
        </is>
      </c>
    </row>
    <row r="31" ht="15" customHeight="1" s="68">
      <c r="A31" s="1" t="inlineStr">
        <is>
          <t>Step 3</t>
        </is>
      </c>
      <c r="B31" s="61" t="inlineStr">
        <is>
          <t>Fill '02_Refinery_Inventory' and '03_Current_H2_Demand' next — these define your baseline. Cross-check refinery list against Concawe and EU Refining Industry data.</t>
        </is>
      </c>
    </row>
    <row r="32" ht="15" customHeight="1" s="68">
      <c r="A32" s="1" t="inlineStr">
        <is>
          <t>Step 4</t>
        </is>
      </c>
      <c r="B32" s="61" t="inlineStr">
        <is>
          <t>Fill '04_GreenH2_Projects' using IEA Hydrogen Projects Database + company press releases. Flag projects by status (Announced / FID / FEED / Under construction / Operational).</t>
        </is>
      </c>
    </row>
    <row r="33" ht="15" customHeight="1" s="68">
      <c r="A33" s="1" t="inlineStr">
        <is>
          <t>Step 5</t>
        </is>
      </c>
      <c r="B33" s="61" t="inlineStr">
        <is>
          <t>Fill remaining sheets in any order. Leave cells empty (not zero) where no disclosure exists — empty ≠ zero.</t>
        </is>
      </c>
    </row>
    <row r="34" ht="15" customHeight="1" s="68">
      <c r="A34" s="1" t="inlineStr">
        <is>
          <t>Step 6</t>
        </is>
      </c>
      <c r="B34" s="61" t="inlineStr">
        <is>
          <t>Fill '09_Cost_Params_MC' last, after a focused literature scan. Use min/mode/max triangular distributions for Monte Carlo.</t>
        </is>
      </c>
    </row>
    <row r="36" ht="15" customHeight="1" s="68">
      <c r="A36" s="62" t="inlineStr">
        <is>
          <t>KEY ABBREVIATIONS</t>
        </is>
      </c>
    </row>
    <row r="37" ht="15" customHeight="1" s="68">
      <c r="A37" s="1" t="inlineStr">
        <is>
          <t>LCOH</t>
        </is>
      </c>
      <c r="B37" s="61" t="inlineStr">
        <is>
          <t>Levelised Cost of Hydrogen (€/kg)</t>
        </is>
      </c>
    </row>
    <row r="38" ht="15" customHeight="1" s="68">
      <c r="A38" s="1" t="inlineStr">
        <is>
          <t>PEM</t>
        </is>
      </c>
      <c r="B38" s="61" t="inlineStr">
        <is>
          <t>Proton Exchange Membrane electrolyser</t>
        </is>
      </c>
    </row>
    <row r="39" ht="15" customHeight="1" s="68">
      <c r="A39" s="1" t="inlineStr">
        <is>
          <t>AEL</t>
        </is>
      </c>
      <c r="B39" s="61" t="inlineStr">
        <is>
          <t>Alkaline Electrolyser</t>
        </is>
      </c>
    </row>
    <row r="40" ht="15" customHeight="1" s="68">
      <c r="A40" s="1" t="inlineStr">
        <is>
          <t>SOEC</t>
        </is>
      </c>
      <c r="B40" s="61" t="inlineStr">
        <is>
          <t>Solid Oxide Electrolyser Cell</t>
        </is>
      </c>
    </row>
    <row r="41" ht="15" customHeight="1" s="68">
      <c r="A41" s="1" t="inlineStr">
        <is>
          <t>SMR</t>
        </is>
      </c>
      <c r="B41" s="61" t="inlineStr">
        <is>
          <t>Steam Methane Reforming (grey H₂)</t>
        </is>
      </c>
    </row>
    <row r="42" ht="15" customHeight="1" s="68">
      <c r="A42" s="1" t="inlineStr">
        <is>
          <t>SMR+CCS</t>
        </is>
      </c>
      <c r="B42" s="61" t="inlineStr">
        <is>
          <t>Steam Methane Reforming with Carbon Capture &amp; Storage (blue H₂)</t>
        </is>
      </c>
    </row>
    <row r="43" ht="15" customHeight="1" s="68">
      <c r="A43" s="1" t="inlineStr">
        <is>
          <t>COD</t>
        </is>
      </c>
      <c r="B43" s="61" t="inlineStr">
        <is>
          <t>Commercial Operation Date</t>
        </is>
      </c>
    </row>
    <row r="44" ht="15" customHeight="1" s="68">
      <c r="A44" s="1" t="inlineStr">
        <is>
          <t>FID</t>
        </is>
      </c>
      <c r="B44" s="61" t="inlineStr">
        <is>
          <t>Final Investment Decision</t>
        </is>
      </c>
    </row>
    <row r="45" ht="15" customHeight="1" s="68">
      <c r="A45" s="1" t="inlineStr">
        <is>
          <t>PPA</t>
        </is>
      </c>
      <c r="B45" s="61" t="inlineStr">
        <is>
          <t>Power Purchase Agreement</t>
        </is>
      </c>
    </row>
    <row r="46" ht="15" customHeight="1" s="68">
      <c r="A46" s="1" t="inlineStr">
        <is>
          <t>STEPS / APS / NZE</t>
        </is>
      </c>
      <c r="B46" s="61" t="inlineStr">
        <is>
          <t>IEA scenarios: Stated Policies / Announced Pledges / Net Zero Emissions by 2050</t>
        </is>
      </c>
    </row>
    <row r="47" ht="15" customHeight="1" s="68">
      <c r="A47" s="1" t="inlineStr">
        <is>
          <t>kbpd</t>
        </is>
      </c>
      <c r="B47" s="61" t="inlineStr">
        <is>
          <t>Thousand barrels per day (refining capacity)</t>
        </is>
      </c>
    </row>
    <row r="48" ht="15" customHeight="1" s="68">
      <c r="A48" s="1" t="inlineStr">
        <is>
          <t>kt/y</t>
        </is>
      </c>
      <c r="B48" s="61" t="inlineStr">
        <is>
          <t>Kilotonnes per year</t>
        </is>
      </c>
    </row>
    <row r="49" ht="15" customHeight="1" s="68">
      <c r="A49" s="1" t="inlineStr">
        <is>
          <t>MWel</t>
        </is>
      </c>
      <c r="B49" s="61" t="inlineStr">
        <is>
          <t>Megawatts of electrolyser input power</t>
        </is>
      </c>
    </row>
    <row r="51" ht="15" customHeight="1" s="68">
      <c r="A51" s="62" t="inlineStr">
        <is>
          <t>DATA QUALITY FLAG</t>
        </is>
      </c>
    </row>
    <row r="52" ht="23.25" customHeight="1" s="68">
      <c r="A52" s="1" t="inlineStr">
        <is>
          <t>Use the 'Data_Quality' column</t>
        </is>
      </c>
      <c r="B52" s="61" t="inlineStr">
        <is>
          <t>[A] Audited / regulator-filed | [D] Company disclosure (annual or sustainability report) | [E] External estimate (IEA, IRENA, academic) | [M] Modeller's assumption (justify in Notes).</t>
        </is>
      </c>
    </row>
  </sheetData>
  <mergeCells count="45">
    <mergeCell ref="B47:F47"/>
    <mergeCell ref="B16:F16"/>
    <mergeCell ref="B25:F25"/>
    <mergeCell ref="B31:F31"/>
    <mergeCell ref="B46:F46"/>
    <mergeCell ref="A3:F3"/>
    <mergeCell ref="B18:F18"/>
    <mergeCell ref="B52:F52"/>
    <mergeCell ref="A2:F2"/>
    <mergeCell ref="B43:F43"/>
    <mergeCell ref="B12:F12"/>
    <mergeCell ref="B39:F39"/>
    <mergeCell ref="B48:F48"/>
    <mergeCell ref="B11:F11"/>
    <mergeCell ref="B42:F42"/>
    <mergeCell ref="A8:F8"/>
    <mergeCell ref="A22:F22"/>
    <mergeCell ref="B23:F23"/>
    <mergeCell ref="B14:F14"/>
    <mergeCell ref="B17:F17"/>
    <mergeCell ref="B13:F13"/>
    <mergeCell ref="B44:F44"/>
    <mergeCell ref="B29:F29"/>
    <mergeCell ref="A28:F28"/>
    <mergeCell ref="B38:F38"/>
    <mergeCell ref="B34:F34"/>
    <mergeCell ref="B10:F10"/>
    <mergeCell ref="B19:F19"/>
    <mergeCell ref="B37:F37"/>
    <mergeCell ref="B40:F40"/>
    <mergeCell ref="B9:F9"/>
    <mergeCell ref="B49:F49"/>
    <mergeCell ref="B30:F30"/>
    <mergeCell ref="A51:F51"/>
    <mergeCell ref="B24:F24"/>
    <mergeCell ref="A36:F36"/>
    <mergeCell ref="B20:F20"/>
    <mergeCell ref="B15:F15"/>
    <mergeCell ref="B33:F33"/>
    <mergeCell ref="A1:F1"/>
    <mergeCell ref="A6:F6"/>
    <mergeCell ref="B45:F45"/>
    <mergeCell ref="B32:F32"/>
    <mergeCell ref="B26:F26"/>
    <mergeCell ref="B41:F4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1"/>
  <sheetViews>
    <sheetView zoomScaleNormal="100" workbookViewId="0">
      <selection activeCell="J24" sqref="J24"/>
    </sheetView>
  </sheetViews>
  <sheetFormatPr baseColWidth="8" defaultColWidth="8.6640625" defaultRowHeight="14.4"/>
  <cols>
    <col width="22.21875" customWidth="1" style="68" min="1" max="1"/>
    <col width="13.5546875" customWidth="1" style="68" min="2" max="2"/>
    <col width="44.21875" customWidth="1" style="68" min="3" max="3"/>
    <col width="7" customWidth="1" style="68" min="4" max="5"/>
    <col width="6.5546875" customWidth="1" style="68" min="6" max="6"/>
  </cols>
  <sheetData>
    <row r="1">
      <c r="A1" s="2" t="inlineStr">
        <is>
          <t>Agii Theodori (Corinth)</t>
        </is>
      </c>
      <c r="B1" s="3" t="inlineStr">
        <is>
          <t>Greece</t>
        </is>
      </c>
      <c r="C1" s="3" t="inlineStr">
        <is>
          <t>MotorOil Hellas</t>
        </is>
      </c>
      <c r="D1" s="3" t="n">
        <v>180</v>
      </c>
      <c r="E1" s="3" t="n">
        <v>9</v>
      </c>
      <c r="F1" s="4" t="inlineStr">
        <is>
          <t>Open</t>
        </is>
      </c>
    </row>
    <row r="2">
      <c r="A2" s="5" t="inlineStr">
        <is>
          <t>Antwerp</t>
        </is>
      </c>
      <c r="B2" s="6" t="inlineStr">
        <is>
          <t>Belgium</t>
        </is>
      </c>
      <c r="C2" s="6" t="inlineStr">
        <is>
          <t>ExxonMobil</t>
        </is>
      </c>
      <c r="D2" s="6" t="n">
        <v>323.2</v>
      </c>
      <c r="E2" s="6" t="n">
        <v>16.16</v>
      </c>
      <c r="F2" s="7" t="inlineStr">
        <is>
          <t>Open</t>
        </is>
      </c>
    </row>
    <row r="3">
      <c r="A3" s="5" t="inlineStr">
        <is>
          <t>Antwerp</t>
        </is>
      </c>
      <c r="B3" s="6" t="inlineStr">
        <is>
          <t>Belgium</t>
        </is>
      </c>
      <c r="C3" s="6" t="inlineStr">
        <is>
          <t>TotalEnergies</t>
        </is>
      </c>
      <c r="D3" s="6" t="n">
        <v>350.4</v>
      </c>
      <c r="E3" s="6" t="n">
        <v>17.52</v>
      </c>
      <c r="F3" s="7" t="inlineStr">
        <is>
          <t>Open</t>
        </is>
      </c>
    </row>
    <row r="4">
      <c r="A4" s="5" t="inlineStr">
        <is>
          <t>Antwerp</t>
        </is>
      </c>
      <c r="B4" s="6" t="inlineStr">
        <is>
          <t>Belgium</t>
        </is>
      </c>
      <c r="C4" s="6" t="inlineStr">
        <is>
          <t>Gunvor</t>
        </is>
      </c>
      <c r="D4" s="6" t="n">
        <v>0</v>
      </c>
      <c r="E4" s="6" t="n">
        <v>0</v>
      </c>
      <c r="F4" s="7" t="inlineStr">
        <is>
          <t>Closed</t>
        </is>
      </c>
    </row>
    <row r="5">
      <c r="A5" s="5" t="inlineStr">
        <is>
          <t>Antwerp</t>
        </is>
      </c>
      <c r="B5" s="6" t="inlineStr">
        <is>
          <t>Belgium</t>
        </is>
      </c>
      <c r="C5" s="6" t="inlineStr">
        <is>
          <t>APC (Vitol)</t>
        </is>
      </c>
      <c r="D5" s="6" t="n">
        <v>0</v>
      </c>
      <c r="E5" s="6" t="n">
        <v>0</v>
      </c>
      <c r="F5" s="7" t="inlineStr">
        <is>
          <t>Closed</t>
        </is>
      </c>
    </row>
    <row r="6">
      <c r="A6" s="5" t="inlineStr">
        <is>
          <t>ASESA</t>
        </is>
      </c>
      <c r="B6" s="6" t="inlineStr">
        <is>
          <t>Spain</t>
        </is>
      </c>
      <c r="C6" s="6" t="inlineStr">
        <is>
          <t>MOEVE/REPSOL</t>
        </is>
      </c>
      <c r="D6" s="6" t="n">
        <v>20</v>
      </c>
      <c r="E6" s="6" t="n">
        <v>1</v>
      </c>
      <c r="F6" s="7" t="inlineStr">
        <is>
          <t>Open</t>
        </is>
      </c>
    </row>
    <row r="7">
      <c r="A7" s="5" t="inlineStr">
        <is>
          <t>Aspropyrgos</t>
        </is>
      </c>
      <c r="B7" s="6" t="inlineStr">
        <is>
          <t>Greece</t>
        </is>
      </c>
      <c r="C7" s="6" t="inlineStr">
        <is>
          <t>HELLENiQ ENERGY</t>
        </is>
      </c>
      <c r="D7" s="6" t="n">
        <v>148</v>
      </c>
      <c r="E7" s="6" t="n">
        <v>7.4</v>
      </c>
      <c r="F7" s="7" t="inlineStr">
        <is>
          <t>Open</t>
        </is>
      </c>
    </row>
    <row r="8">
      <c r="A8" s="5" t="inlineStr">
        <is>
          <t>Augusta</t>
        </is>
      </c>
      <c r="B8" s="6" t="inlineStr">
        <is>
          <t>Italy</t>
        </is>
      </c>
      <c r="C8" s="6" t="inlineStr">
        <is>
          <t>Sonatrach</t>
        </is>
      </c>
      <c r="D8" s="6" t="n">
        <v>208.42</v>
      </c>
      <c r="E8" s="6" t="n">
        <v>10.421</v>
      </c>
      <c r="F8" s="7" t="inlineStr">
        <is>
          <t>Open</t>
        </is>
      </c>
    </row>
    <row r="9">
      <c r="A9" s="5" t="inlineStr">
        <is>
          <t>Bayern oil</t>
        </is>
      </c>
      <c r="B9" s="6" t="inlineStr">
        <is>
          <t>Germany</t>
        </is>
      </c>
      <c r="C9" s="6" t="inlineStr">
        <is>
          <t>ENI/VAROPreem/Bundesnetzagentur</t>
        </is>
      </c>
      <c r="D9" s="6" t="n">
        <v>226.3</v>
      </c>
      <c r="E9" s="6" t="n">
        <v>11.315</v>
      </c>
      <c r="F9" s="7" t="inlineStr">
        <is>
          <t>Open</t>
        </is>
      </c>
    </row>
    <row r="10">
      <c r="A10" s="5" t="inlineStr">
        <is>
          <t>Berre</t>
        </is>
      </c>
      <c r="B10" s="6" t="inlineStr">
        <is>
          <t>France</t>
        </is>
      </c>
      <c r="C10" s="6" t="inlineStr">
        <is>
          <t>LyondellBasell</t>
        </is>
      </c>
      <c r="D10" s="6" t="n">
        <v>0</v>
      </c>
      <c r="E10" s="6" t="n">
        <v>0</v>
      </c>
      <c r="F10" s="7" t="inlineStr">
        <is>
          <t>Closed</t>
        </is>
      </c>
    </row>
    <row r="11">
      <c r="A11" s="5" t="inlineStr">
        <is>
          <t>Brunsbuttel</t>
        </is>
      </c>
      <c r="B11" s="6" t="inlineStr">
        <is>
          <t>Germany</t>
        </is>
      </c>
      <c r="C11" s="6" t="inlineStr">
        <is>
          <t>TotalEnergies</t>
        </is>
      </c>
      <c r="D11" s="6" t="n">
        <v>16</v>
      </c>
      <c r="E11" s="6" t="n">
        <v>0.8</v>
      </c>
      <c r="F11" s="7" t="inlineStr">
        <is>
          <t>Open</t>
        </is>
      </c>
    </row>
    <row r="12">
      <c r="A12" s="5" t="inlineStr">
        <is>
          <t>Burgas</t>
        </is>
      </c>
      <c r="B12" s="6" t="inlineStr">
        <is>
          <t>Bulgaria</t>
        </is>
      </c>
      <c r="C12" s="6" t="inlineStr">
        <is>
          <t>Lukoil</t>
        </is>
      </c>
      <c r="D12" s="6" t="n">
        <v>121.3</v>
      </c>
      <c r="E12" s="6" t="n">
        <v>6.065</v>
      </c>
      <c r="F12" s="7" t="inlineStr">
        <is>
          <t>Open</t>
        </is>
      </c>
    </row>
    <row r="13">
      <c r="A13" s="5" t="inlineStr">
        <is>
          <t>Burghausen</t>
        </is>
      </c>
      <c r="B13" s="6" t="inlineStr">
        <is>
          <t>Germany</t>
        </is>
      </c>
      <c r="C13" s="6" t="inlineStr">
        <is>
          <t>OMV</t>
        </is>
      </c>
      <c r="D13" s="6" t="n">
        <v>79.09999999999999</v>
      </c>
      <c r="E13" s="6" t="n">
        <v>3.955</v>
      </c>
      <c r="F13" s="7" t="inlineStr">
        <is>
          <t>Open</t>
        </is>
      </c>
    </row>
    <row r="14">
      <c r="A14" s="5" t="inlineStr">
        <is>
          <t>Busalla</t>
        </is>
      </c>
      <c r="B14" s="6" t="inlineStr">
        <is>
          <t>Italy</t>
        </is>
      </c>
      <c r="C14" s="6" t="inlineStr">
        <is>
          <t>IPLOM</t>
        </is>
      </c>
      <c r="D14" s="6" t="n">
        <v>36</v>
      </c>
      <c r="E14" s="6" t="n">
        <v>1.8</v>
      </c>
      <c r="F14" s="7" t="inlineStr">
        <is>
          <t>Open</t>
        </is>
      </c>
    </row>
    <row r="15">
      <c r="A15" s="5" t="inlineStr">
        <is>
          <t>Cartagena</t>
        </is>
      </c>
      <c r="B15" s="6" t="inlineStr">
        <is>
          <t>Spain</t>
        </is>
      </c>
      <c r="C15" s="6" t="inlineStr">
        <is>
          <t>Repsol</t>
        </is>
      </c>
      <c r="D15" s="6" t="n">
        <v>231.58</v>
      </c>
      <c r="E15" s="6" t="n">
        <v>11.58</v>
      </c>
      <c r="F15" s="7" t="inlineStr">
        <is>
          <t>Open</t>
        </is>
      </c>
    </row>
    <row r="16">
      <c r="A16" s="5" t="inlineStr">
        <is>
          <t>Cartagena</t>
        </is>
      </c>
      <c r="B16" s="6" t="inlineStr">
        <is>
          <t>Spain</t>
        </is>
      </c>
      <c r="C16" s="6" t="inlineStr">
        <is>
          <t>Repsol</t>
        </is>
      </c>
      <c r="D16" s="6" t="inlineStr">
        <is>
          <t>n/a</t>
        </is>
      </c>
      <c r="E16" s="6" t="n">
        <v>4.5</v>
      </c>
      <c r="F16" s="7" t="inlineStr">
        <is>
          <t>Open</t>
        </is>
      </c>
    </row>
    <row r="17">
      <c r="A17" s="5" t="inlineStr">
        <is>
          <t>Castellon</t>
        </is>
      </c>
      <c r="B17" s="6" t="inlineStr">
        <is>
          <t>Spain</t>
        </is>
      </c>
      <c r="C17" s="6" t="inlineStr">
        <is>
          <t>BP</t>
        </is>
      </c>
      <c r="D17" s="6" t="n">
        <v>110</v>
      </c>
      <c r="E17" s="6" t="n">
        <v>5.5</v>
      </c>
      <c r="F17" s="7" t="inlineStr">
        <is>
          <t>Open</t>
        </is>
      </c>
    </row>
    <row r="18">
      <c r="A18" s="5" t="inlineStr">
        <is>
          <t>Collombey</t>
        </is>
      </c>
      <c r="B18" s="6" t="inlineStr">
        <is>
          <t>Switzerland</t>
        </is>
      </c>
      <c r="C18" s="6" t="inlineStr">
        <is>
          <t>Tamoil</t>
        </is>
      </c>
      <c r="D18" s="6" t="n">
        <v>0</v>
      </c>
      <c r="E18" s="6" t="n">
        <v>0</v>
      </c>
      <c r="F18" s="7" t="inlineStr">
        <is>
          <t>Closed</t>
        </is>
      </c>
    </row>
    <row r="19">
      <c r="A19" s="5" t="inlineStr">
        <is>
          <t>Coryton</t>
        </is>
      </c>
      <c r="B19" s="6" t="inlineStr">
        <is>
          <t>United Kingdom</t>
        </is>
      </c>
      <c r="C19" s="6" t="inlineStr">
        <is>
          <t>Petroplius</t>
        </is>
      </c>
      <c r="D19" s="6" t="n">
        <v>0</v>
      </c>
      <c r="E19" s="6" t="n">
        <v>0</v>
      </c>
      <c r="F19" s="7" t="inlineStr">
        <is>
          <t>Closed</t>
        </is>
      </c>
    </row>
    <row r="20">
      <c r="A20" s="5" t="inlineStr">
        <is>
          <t>Cremona</t>
        </is>
      </c>
      <c r="B20" s="6" t="inlineStr">
        <is>
          <t>Italy</t>
        </is>
      </c>
      <c r="C20" s="6" t="inlineStr">
        <is>
          <t>TAMOIL</t>
        </is>
      </c>
      <c r="D20" s="6" t="n">
        <v>0</v>
      </c>
      <c r="E20" s="6" t="n">
        <v>0</v>
      </c>
      <c r="F20" s="7" t="inlineStr">
        <is>
          <t>Closed</t>
        </is>
      </c>
    </row>
    <row r="21">
      <c r="A21" s="5" t="inlineStr">
        <is>
          <t>Cressier</t>
        </is>
      </c>
      <c r="B21" s="6" t="inlineStr">
        <is>
          <t>Switzerland</t>
        </is>
      </c>
      <c r="C21" s="6" t="inlineStr">
        <is>
          <t>VAROPreem</t>
        </is>
      </c>
      <c r="D21" s="6" t="n">
        <v>68</v>
      </c>
      <c r="E21" s="6" t="n">
        <v>3.4</v>
      </c>
      <c r="F21" s="7" t="inlineStr">
        <is>
          <t>Open</t>
        </is>
      </c>
    </row>
    <row r="22">
      <c r="A22" s="5" t="inlineStr">
        <is>
          <t>Donges</t>
        </is>
      </c>
      <c r="B22" s="6" t="inlineStr">
        <is>
          <t>France</t>
        </is>
      </c>
      <c r="C22" s="6" t="inlineStr">
        <is>
          <t>TotalEnergies</t>
        </is>
      </c>
      <c r="D22" s="6" t="n">
        <v>227.3</v>
      </c>
      <c r="E22" s="6" t="n">
        <v>11.37</v>
      </c>
      <c r="F22" s="7" t="inlineStr">
        <is>
          <t>Open</t>
        </is>
      </c>
    </row>
    <row r="23">
      <c r="A23" s="5" t="inlineStr">
        <is>
          <t>Dundee</t>
        </is>
      </c>
      <c r="B23" s="6" t="inlineStr">
        <is>
          <t>United Kingdom</t>
        </is>
      </c>
      <c r="C23" s="6" t="inlineStr">
        <is>
          <t>Nynas</t>
        </is>
      </c>
      <c r="D23" s="6" t="n">
        <v>0</v>
      </c>
      <c r="E23" s="6" t="n">
        <v>0</v>
      </c>
      <c r="F23" s="7" t="inlineStr">
        <is>
          <t>Closed</t>
        </is>
      </c>
    </row>
    <row r="24">
      <c r="A24" s="5" t="inlineStr">
        <is>
          <t>Dunkerque</t>
        </is>
      </c>
      <c r="B24" s="6" t="inlineStr">
        <is>
          <t>France</t>
        </is>
      </c>
      <c r="C24" s="6" t="inlineStr">
        <is>
          <t>SRD</t>
        </is>
      </c>
      <c r="D24" s="6" t="n">
        <v>0</v>
      </c>
      <c r="E24" s="6" t="n">
        <v>0</v>
      </c>
      <c r="F24" s="7" t="inlineStr">
        <is>
          <t>Closed</t>
        </is>
      </c>
    </row>
    <row r="25">
      <c r="A25" s="5" t="inlineStr">
        <is>
          <t>Dunkerque</t>
        </is>
      </c>
      <c r="B25" s="6" t="inlineStr">
        <is>
          <t>France</t>
        </is>
      </c>
      <c r="C25" s="6" t="inlineStr">
        <is>
          <t>TotalEnergies</t>
        </is>
      </c>
      <c r="D25" s="6" t="n">
        <v>0</v>
      </c>
      <c r="E25" s="6" t="n">
        <v>0</v>
      </c>
      <c r="F25" s="7" t="inlineStr">
        <is>
          <t>Closed</t>
        </is>
      </c>
    </row>
    <row r="26">
      <c r="A26" s="5" t="inlineStr">
        <is>
          <t>Eastham</t>
        </is>
      </c>
      <c r="B26" s="6" t="inlineStr">
        <is>
          <t>United Kingdom</t>
        </is>
      </c>
      <c r="C26" s="6" t="inlineStr">
        <is>
          <t>Nynas/Shell</t>
        </is>
      </c>
      <c r="D26" s="6" t="n">
        <v>22.8</v>
      </c>
      <c r="E26" s="6" t="n">
        <v>1.14</v>
      </c>
      <c r="F26" s="7" t="inlineStr">
        <is>
          <t>Open</t>
        </is>
      </c>
    </row>
    <row r="27">
      <c r="A27" s="5" t="inlineStr">
        <is>
          <t>Elefsis</t>
        </is>
      </c>
      <c r="B27" s="6" t="inlineStr">
        <is>
          <t>Greece</t>
        </is>
      </c>
      <c r="C27" s="6" t="inlineStr">
        <is>
          <t>HELLENiQ ENERGY</t>
        </is>
      </c>
      <c r="D27" s="6" t="n">
        <v>106</v>
      </c>
      <c r="E27" s="6" t="n">
        <v>5.3</v>
      </c>
      <c r="F27" s="7" t="inlineStr">
        <is>
          <t>Open</t>
        </is>
      </c>
    </row>
    <row r="28">
      <c r="A28" s="5" t="inlineStr">
        <is>
          <t>Falconara</t>
        </is>
      </c>
      <c r="B28" s="6" t="inlineStr">
        <is>
          <t>Italy</t>
        </is>
      </c>
      <c r="C28" s="6" t="inlineStr">
        <is>
          <t>API</t>
        </is>
      </c>
      <c r="D28" s="6" t="n">
        <v>87.3</v>
      </c>
      <c r="E28" s="6" t="n">
        <v>4.365</v>
      </c>
      <c r="F28" s="7" t="inlineStr">
        <is>
          <t>Open</t>
        </is>
      </c>
    </row>
    <row r="29">
      <c r="A29" s="5" t="inlineStr">
        <is>
          <t>Fawley</t>
        </is>
      </c>
      <c r="B29" s="6" t="inlineStr">
        <is>
          <t>United Kingdom</t>
        </is>
      </c>
      <c r="C29" s="6" t="inlineStr">
        <is>
          <t>ExxonMobil</t>
        </is>
      </c>
      <c r="D29" s="6" t="n">
        <v>273.7</v>
      </c>
      <c r="E29" s="6" t="n">
        <v>13.69</v>
      </c>
      <c r="F29" s="7" t="inlineStr">
        <is>
          <t>Open</t>
        </is>
      </c>
    </row>
    <row r="30">
      <c r="A30" s="5" t="inlineStr">
        <is>
          <t>Feyzin</t>
        </is>
      </c>
      <c r="B30" s="6" t="inlineStr">
        <is>
          <t>France</t>
        </is>
      </c>
      <c r="C30" s="6" t="inlineStr">
        <is>
          <t>TotalEnergies</t>
        </is>
      </c>
      <c r="D30" s="6" t="n">
        <v>113.4</v>
      </c>
      <c r="E30" s="6" t="n">
        <v>5.67</v>
      </c>
      <c r="F30" s="7" t="inlineStr">
        <is>
          <t>Open</t>
        </is>
      </c>
    </row>
    <row r="31">
      <c r="A31" s="5" t="inlineStr">
        <is>
          <t>Fos</t>
        </is>
      </c>
      <c r="B31" s="6" t="inlineStr">
        <is>
          <t>France</t>
        </is>
      </c>
      <c r="C31" s="6" t="inlineStr">
        <is>
          <t>RhôneEnergies</t>
        </is>
      </c>
      <c r="D31" s="6" t="n">
        <v>140</v>
      </c>
      <c r="E31" s="6" t="n">
        <v>7</v>
      </c>
      <c r="F31" s="7" t="inlineStr">
        <is>
          <t>Open</t>
        </is>
      </c>
    </row>
    <row r="32">
      <c r="A32" s="5" t="inlineStr">
        <is>
          <t>Fredericia</t>
        </is>
      </c>
      <c r="B32" s="6" t="inlineStr">
        <is>
          <t>Denmark</t>
        </is>
      </c>
      <c r="C32" s="6" t="inlineStr">
        <is>
          <t>Crossbridge energy</t>
        </is>
      </c>
      <c r="D32" s="6" t="n">
        <v>70.5</v>
      </c>
      <c r="E32" s="6" t="n">
        <v>3.53</v>
      </c>
      <c r="F32" s="7" t="inlineStr">
        <is>
          <t>Open</t>
        </is>
      </c>
    </row>
    <row r="33">
      <c r="A33" s="5" t="inlineStr">
        <is>
          <t>Gdansk</t>
        </is>
      </c>
      <c r="B33" s="6" t="inlineStr">
        <is>
          <t>Poland</t>
        </is>
      </c>
      <c r="C33" s="6" t="inlineStr">
        <is>
          <t>Orlen</t>
        </is>
      </c>
      <c r="D33" s="6" t="n">
        <v>215</v>
      </c>
      <c r="E33" s="6" t="n">
        <v>10.21</v>
      </c>
      <c r="F33" s="7" t="inlineStr">
        <is>
          <t>Open</t>
        </is>
      </c>
    </row>
    <row r="34">
      <c r="A34" s="5" t="inlineStr">
        <is>
          <t>Gela Biorefinery</t>
        </is>
      </c>
      <c r="B34" s="6" t="inlineStr">
        <is>
          <t>Italy</t>
        </is>
      </c>
      <c r="C34" s="6" t="inlineStr">
        <is>
          <t>ENI</t>
        </is>
      </c>
      <c r="D34" s="6" t="inlineStr">
        <is>
          <t>n/a</t>
        </is>
      </c>
      <c r="E34" s="6" t="n">
        <v>0</v>
      </c>
      <c r="F34" s="7" t="inlineStr">
        <is>
          <t>Open</t>
        </is>
      </c>
    </row>
    <row r="35">
      <c r="A35" s="5" t="inlineStr">
        <is>
          <t>Gelsenkirchen</t>
        </is>
      </c>
      <c r="B35" s="6" t="inlineStr">
        <is>
          <t>Germany</t>
        </is>
      </c>
      <c r="C35" s="6" t="inlineStr">
        <is>
          <t>BP</t>
        </is>
      </c>
      <c r="D35" s="6" t="n">
        <v>265</v>
      </c>
      <c r="E35" s="6" t="n">
        <v>12.59</v>
      </c>
      <c r="F35" s="7" t="inlineStr">
        <is>
          <t>Open</t>
        </is>
      </c>
    </row>
    <row r="36">
      <c r="A36" s="5" t="inlineStr">
        <is>
          <t>Gonfreville</t>
        </is>
      </c>
      <c r="B36" s="6" t="inlineStr">
        <is>
          <t>France</t>
        </is>
      </c>
      <c r="C36" s="6" t="inlineStr">
        <is>
          <t>TotalEnergies</t>
        </is>
      </c>
      <c r="D36" s="6" t="n">
        <v>262</v>
      </c>
      <c r="E36" s="6" t="n">
        <v>12.45</v>
      </c>
      <c r="F36" s="7" t="inlineStr">
        <is>
          <t>Open</t>
        </is>
      </c>
    </row>
    <row r="37">
      <c r="A37" s="5" t="inlineStr">
        <is>
          <t>Gothenburg</t>
        </is>
      </c>
      <c r="B37" s="6" t="inlineStr">
        <is>
          <t>Sweden</t>
        </is>
      </c>
      <c r="C37" s="6" t="inlineStr">
        <is>
          <t>Nynas</t>
        </is>
      </c>
      <c r="D37" s="6" t="n">
        <v>14</v>
      </c>
      <c r="E37" s="6" t="n">
        <v>0.65</v>
      </c>
      <c r="F37" s="7" t="inlineStr">
        <is>
          <t>Open</t>
        </is>
      </c>
    </row>
    <row r="38">
      <c r="A38" s="5" t="inlineStr">
        <is>
          <t>Gothenburg</t>
        </is>
      </c>
      <c r="B38" s="6" t="inlineStr">
        <is>
          <t>Sweden</t>
        </is>
      </c>
      <c r="C38" s="6" t="inlineStr">
        <is>
          <t>VAROPreem</t>
        </is>
      </c>
      <c r="D38" s="6" t="n">
        <v>112</v>
      </c>
      <c r="E38" s="6" t="n">
        <v>5.3</v>
      </c>
      <c r="F38" s="7" t="inlineStr">
        <is>
          <t>Open</t>
        </is>
      </c>
    </row>
    <row r="39">
      <c r="A39" s="5" t="inlineStr">
        <is>
          <t>Gothenburg</t>
        </is>
      </c>
      <c r="B39" s="6" t="inlineStr">
        <is>
          <t>Sweden</t>
        </is>
      </c>
      <c r="C39" s="6" t="inlineStr">
        <is>
          <t>St1 Refinery</t>
        </is>
      </c>
      <c r="D39" s="6" t="n">
        <v>84</v>
      </c>
      <c r="E39" s="6" t="n">
        <v>4</v>
      </c>
      <c r="F39" s="7" t="inlineStr">
        <is>
          <t>Open</t>
        </is>
      </c>
    </row>
    <row r="40">
      <c r="A40" s="5" t="inlineStr">
        <is>
          <t>Gothenburg</t>
        </is>
      </c>
      <c r="B40" s="6" t="inlineStr">
        <is>
          <t>Sweden</t>
        </is>
      </c>
      <c r="C40" s="6" t="inlineStr">
        <is>
          <t>ST1/SCA</t>
        </is>
      </c>
      <c r="D40" s="6" t="inlineStr">
        <is>
          <t>n/a</t>
        </is>
      </c>
      <c r="E40" s="6" t="n">
        <v>2.8</v>
      </c>
      <c r="F40" s="7" t="inlineStr">
        <is>
          <t>Open</t>
        </is>
      </c>
    </row>
    <row r="41">
      <c r="A41" s="5" t="inlineStr">
        <is>
          <t>Gothenburg</t>
        </is>
      </c>
      <c r="B41" s="6" t="inlineStr">
        <is>
          <t>Sweden</t>
        </is>
      </c>
      <c r="C41" s="6" t="inlineStr">
        <is>
          <t>VAROPreem</t>
        </is>
      </c>
      <c r="D41" s="6" t="inlineStr">
        <is>
          <t>n/a</t>
        </is>
      </c>
      <c r="E41" s="6" t="n">
        <v>2.5</v>
      </c>
      <c r="F41" s="7" t="inlineStr">
        <is>
          <t>Open</t>
        </is>
      </c>
    </row>
    <row r="42">
      <c r="A42" s="5" t="inlineStr">
        <is>
          <t>Grandpuits</t>
        </is>
      </c>
      <c r="B42" s="6" t="inlineStr">
        <is>
          <t>France</t>
        </is>
      </c>
      <c r="C42" s="6" t="inlineStr">
        <is>
          <t>TotalEnergies</t>
        </is>
      </c>
      <c r="D42" s="6" t="n">
        <v>0</v>
      </c>
      <c r="E42" s="6" t="n">
        <v>0</v>
      </c>
      <c r="F42" s="7" t="inlineStr">
        <is>
          <t>Closed</t>
        </is>
      </c>
    </row>
    <row r="43">
      <c r="A43" s="5" t="inlineStr">
        <is>
          <t>Grangemouth</t>
        </is>
      </c>
      <c r="B43" s="6" t="inlineStr">
        <is>
          <t>United Kingdom</t>
        </is>
      </c>
      <c r="C43" s="6" t="inlineStr">
        <is>
          <t>Petroineos</t>
        </is>
      </c>
      <c r="D43" s="6" t="n">
        <v>158</v>
      </c>
      <c r="E43" s="6" t="n">
        <v>7.5</v>
      </c>
      <c r="F43" s="7" t="inlineStr">
        <is>
          <t>Closed</t>
        </is>
      </c>
    </row>
    <row r="44">
      <c r="A44" s="5" t="inlineStr">
        <is>
          <t>Gävle Biorefinery</t>
        </is>
      </c>
      <c r="B44" s="6" t="inlineStr">
        <is>
          <t>Sweden</t>
        </is>
      </c>
      <c r="C44" s="6" t="inlineStr">
        <is>
          <t>VAROPreem</t>
        </is>
      </c>
      <c r="D44" s="6" t="inlineStr">
        <is>
          <t>n/a</t>
        </is>
      </c>
      <c r="E44" s="6" t="n">
        <v>0.05</v>
      </c>
      <c r="F44" s="7" t="inlineStr">
        <is>
          <t>Open</t>
        </is>
      </c>
    </row>
    <row r="45">
      <c r="A45" s="5" t="inlineStr">
        <is>
          <t>Hamburg/Neuhoff</t>
        </is>
      </c>
      <c r="B45" s="6" t="inlineStr">
        <is>
          <t>Germany</t>
        </is>
      </c>
      <c r="C45" s="6" t="inlineStr">
        <is>
          <t>H&amp;R</t>
        </is>
      </c>
      <c r="D45" s="6" t="n">
        <v>16.1</v>
      </c>
      <c r="E45" s="6" t="n">
        <v>0.8100000000000001</v>
      </c>
      <c r="F45" s="7" t="inlineStr">
        <is>
          <t>Open</t>
        </is>
      </c>
    </row>
    <row r="46">
      <c r="A46" s="5" t="inlineStr">
        <is>
          <t>Harburg</t>
        </is>
      </c>
      <c r="B46" s="6" t="inlineStr">
        <is>
          <t>Germany</t>
        </is>
      </c>
      <c r="C46" s="6" t="inlineStr">
        <is>
          <t>Nynas</t>
        </is>
      </c>
      <c r="D46" s="6" t="n">
        <v>0</v>
      </c>
      <c r="E46" s="6" t="n">
        <v>0</v>
      </c>
      <c r="F46" s="7" t="inlineStr">
        <is>
          <t>Closed</t>
        </is>
      </c>
    </row>
    <row r="47">
      <c r="A47" s="5" t="inlineStr">
        <is>
          <t>Harburg</t>
        </is>
      </c>
      <c r="B47" s="6" t="inlineStr">
        <is>
          <t>Germany</t>
        </is>
      </c>
      <c r="C47" s="6" t="inlineStr">
        <is>
          <t>Shell</t>
        </is>
      </c>
      <c r="D47" s="6" t="n">
        <v>0</v>
      </c>
      <c r="E47" s="6" t="n">
        <v>0</v>
      </c>
      <c r="F47" s="7" t="inlineStr">
        <is>
          <t>Closed</t>
        </is>
      </c>
    </row>
    <row r="48">
      <c r="A48" s="5" t="inlineStr">
        <is>
          <t>Harburg (Holborn)</t>
        </is>
      </c>
      <c r="B48" s="6" t="inlineStr">
        <is>
          <t>Germany</t>
        </is>
      </c>
      <c r="C48" s="6" t="inlineStr">
        <is>
          <t>Tamoil</t>
        </is>
      </c>
      <c r="D48" s="6" t="n">
        <v>105</v>
      </c>
      <c r="E48" s="6" t="n">
        <v>5.25</v>
      </c>
      <c r="F48" s="7" t="inlineStr">
        <is>
          <t>Open</t>
        </is>
      </c>
    </row>
    <row r="49">
      <c r="A49" s="5" t="inlineStr">
        <is>
          <t>Heide</t>
        </is>
      </c>
      <c r="B49" s="6" t="inlineStr">
        <is>
          <t>Germany</t>
        </is>
      </c>
      <c r="C49" s="6" t="inlineStr">
        <is>
          <t>RHG (Klesch)</t>
        </is>
      </c>
      <c r="D49" s="6" t="n">
        <v>90.40000000000001</v>
      </c>
      <c r="E49" s="6" t="n">
        <v>4.52</v>
      </c>
      <c r="F49" s="7" t="inlineStr">
        <is>
          <t>Open</t>
        </is>
      </c>
    </row>
    <row r="50">
      <c r="A50" s="5" t="inlineStr">
        <is>
          <t>Huelva (La Rabida)</t>
        </is>
      </c>
      <c r="B50" s="6" t="inlineStr">
        <is>
          <t>Spain</t>
        </is>
      </c>
      <c r="C50" s="6" t="inlineStr">
        <is>
          <t>MOEVE</t>
        </is>
      </c>
      <c r="D50" s="6" t="n">
        <v>190</v>
      </c>
      <c r="E50" s="6" t="n">
        <v>9.5</v>
      </c>
      <c r="F50" s="7" t="inlineStr">
        <is>
          <t>Open</t>
        </is>
      </c>
    </row>
    <row r="51">
      <c r="A51" s="5" t="inlineStr">
        <is>
          <t>Humberside</t>
        </is>
      </c>
      <c r="B51" s="6" t="inlineStr">
        <is>
          <t>United Kingdom</t>
        </is>
      </c>
      <c r="C51" s="6" t="inlineStr">
        <is>
          <t>Prax Group</t>
        </is>
      </c>
      <c r="D51" s="6" t="n">
        <v>0</v>
      </c>
      <c r="E51" s="6" t="n">
        <v>0</v>
      </c>
      <c r="F51" s="7" t="inlineStr">
        <is>
          <t>Closed</t>
        </is>
      </c>
    </row>
    <row r="52">
      <c r="A52" s="5" t="inlineStr">
        <is>
          <t>Ingolstadt</t>
        </is>
      </c>
      <c r="B52" s="6" t="inlineStr">
        <is>
          <t>Germany</t>
        </is>
      </c>
      <c r="C52" s="6" t="inlineStr">
        <is>
          <t>Gunvor</t>
        </is>
      </c>
      <c r="D52" s="6" t="n">
        <v>110</v>
      </c>
      <c r="E52" s="6" t="n">
        <v>5.5</v>
      </c>
      <c r="F52" s="7" t="inlineStr">
        <is>
          <t>Open</t>
        </is>
      </c>
    </row>
    <row r="53">
      <c r="A53" s="5" t="inlineStr">
        <is>
          <t>Jaslo</t>
        </is>
      </c>
      <c r="B53" s="6" t="inlineStr">
        <is>
          <t>Poland</t>
        </is>
      </c>
      <c r="C53" s="6" t="inlineStr">
        <is>
          <t>Lotos</t>
        </is>
      </c>
      <c r="D53" s="6" t="n">
        <v>0</v>
      </c>
      <c r="E53" s="6" t="n">
        <v>0</v>
      </c>
      <c r="F53" s="7" t="inlineStr">
        <is>
          <t>Closed</t>
        </is>
      </c>
    </row>
    <row r="54">
      <c r="A54" s="5" t="inlineStr">
        <is>
          <t>Jedlicze</t>
        </is>
      </c>
      <c r="B54" s="6" t="inlineStr">
        <is>
          <t>Poland</t>
        </is>
      </c>
      <c r="C54" s="6" t="inlineStr">
        <is>
          <t>Orlen</t>
        </is>
      </c>
      <c r="D54" s="6" t="n">
        <v>0</v>
      </c>
      <c r="E54" s="6" t="n">
        <v>0</v>
      </c>
      <c r="F54" s="7" t="inlineStr">
        <is>
          <t>Closed</t>
        </is>
      </c>
    </row>
    <row r="55">
      <c r="A55" s="5" t="inlineStr">
        <is>
          <t>Kalrsruhe</t>
        </is>
      </c>
      <c r="B55" s="6" t="inlineStr">
        <is>
          <t>Germany</t>
        </is>
      </c>
      <c r="C55" s="6" t="inlineStr">
        <is>
          <t>MiRO (Phillips66/ExxonMobil/Shell/Bundesnetzagentur)</t>
        </is>
      </c>
      <c r="D55" s="6" t="n">
        <v>302</v>
      </c>
      <c r="E55" s="6" t="n">
        <v>14.35</v>
      </c>
      <c r="F55" s="7" t="inlineStr">
        <is>
          <t>Open</t>
        </is>
      </c>
    </row>
    <row r="56">
      <c r="A56" s="5" t="inlineStr">
        <is>
          <t>Kalundborg</t>
        </is>
      </c>
      <c r="B56" s="6" t="inlineStr">
        <is>
          <t>Denmark</t>
        </is>
      </c>
      <c r="C56" s="6" t="inlineStr">
        <is>
          <t>Klesch</t>
        </is>
      </c>
      <c r="D56" s="6" t="n">
        <v>112</v>
      </c>
      <c r="E56" s="6" t="n">
        <v>5.6</v>
      </c>
      <c r="F56" s="7" t="inlineStr">
        <is>
          <t>Open</t>
        </is>
      </c>
    </row>
    <row r="57">
      <c r="A57" s="5" t="inlineStr">
        <is>
          <t>Killingholme</t>
        </is>
      </c>
      <c r="B57" s="6" t="inlineStr">
        <is>
          <t>United Kingdom</t>
        </is>
      </c>
      <c r="C57" s="6" t="inlineStr">
        <is>
          <t>Phillips66</t>
        </is>
      </c>
      <c r="D57" s="6" t="n">
        <v>232.6</v>
      </c>
      <c r="E57" s="6" t="n">
        <v>11.63</v>
      </c>
      <c r="F57" s="7" t="inlineStr">
        <is>
          <t>Open</t>
        </is>
      </c>
    </row>
    <row r="58">
      <c r="A58" s="5" t="inlineStr">
        <is>
          <t>Kolin</t>
        </is>
      </c>
      <c r="B58" s="6" t="inlineStr">
        <is>
          <t>Czechia</t>
        </is>
      </c>
      <c r="C58" s="6" t="inlineStr">
        <is>
          <t>Koramo (PKN Orlen)</t>
        </is>
      </c>
      <c r="D58" s="6" t="n">
        <v>0</v>
      </c>
      <c r="E58" s="6" t="n">
        <v>0</v>
      </c>
      <c r="F58" s="7" t="inlineStr">
        <is>
          <t>Closed</t>
        </is>
      </c>
    </row>
    <row r="59">
      <c r="A59" s="5" t="inlineStr">
        <is>
          <t>Kralupy</t>
        </is>
      </c>
      <c r="B59" s="6" t="inlineStr">
        <is>
          <t>Czechia</t>
        </is>
      </c>
      <c r="C59" s="6" t="inlineStr">
        <is>
          <t>Orlen</t>
        </is>
      </c>
      <c r="D59" s="6" t="n">
        <v>63</v>
      </c>
      <c r="E59" s="6" t="n">
        <v>3.15</v>
      </c>
      <c r="F59" s="7" t="inlineStr">
        <is>
          <t>Open</t>
        </is>
      </c>
    </row>
    <row r="60">
      <c r="A60" s="5" t="inlineStr">
        <is>
          <t>La Coruna</t>
        </is>
      </c>
      <c r="B60" s="6" t="inlineStr">
        <is>
          <t>Spain</t>
        </is>
      </c>
      <c r="C60" s="6" t="inlineStr">
        <is>
          <t>Repsol</t>
        </is>
      </c>
      <c r="D60" s="6" t="n">
        <v>126</v>
      </c>
      <c r="E60" s="6" t="n">
        <v>6</v>
      </c>
      <c r="F60" s="7" t="inlineStr">
        <is>
          <t>Open</t>
        </is>
      </c>
    </row>
    <row r="61">
      <c r="A61" s="5" t="inlineStr">
        <is>
          <t>La Mede Biorefinery</t>
        </is>
      </c>
      <c r="B61" s="6" t="inlineStr">
        <is>
          <t>France</t>
        </is>
      </c>
      <c r="C61" s="6" t="inlineStr">
        <is>
          <t>TotalEnergies</t>
        </is>
      </c>
      <c r="D61" s="6" t="inlineStr">
        <is>
          <t>n/a</t>
        </is>
      </c>
      <c r="E61" s="6" t="n">
        <v>0.5</v>
      </c>
      <c r="F61" s="7" t="inlineStr">
        <is>
          <t>Open</t>
        </is>
      </c>
    </row>
    <row r="62">
      <c r="A62" s="5" t="inlineStr">
        <is>
          <t>Lappeenranta</t>
        </is>
      </c>
      <c r="B62" s="6" t="inlineStr">
        <is>
          <t>Finland</t>
        </is>
      </c>
      <c r="C62" s="6" t="inlineStr">
        <is>
          <t>UPM</t>
        </is>
      </c>
      <c r="D62" s="6" t="inlineStr">
        <is>
          <t>n/a</t>
        </is>
      </c>
      <c r="E62" s="6" t="n">
        <v>0.12</v>
      </c>
      <c r="F62" s="7" t="inlineStr">
        <is>
          <t>Open</t>
        </is>
      </c>
    </row>
    <row r="63">
      <c r="A63" s="5" t="inlineStr">
        <is>
          <t>Lavera</t>
        </is>
      </c>
      <c r="B63" s="6" t="inlineStr">
        <is>
          <t>France</t>
        </is>
      </c>
      <c r="C63" s="6" t="inlineStr">
        <is>
          <t>Petroineos</t>
        </is>
      </c>
      <c r="D63" s="6" t="n">
        <v>218</v>
      </c>
      <c r="E63" s="6" t="n">
        <v>10.36</v>
      </c>
      <c r="F63" s="7" t="inlineStr">
        <is>
          <t>Open</t>
        </is>
      </c>
    </row>
    <row r="64">
      <c r="A64" s="5" t="inlineStr">
        <is>
          <t>Leca</t>
        </is>
      </c>
      <c r="B64" s="6" t="inlineStr">
        <is>
          <t>Portugal</t>
        </is>
      </c>
      <c r="C64" s="6" t="inlineStr">
        <is>
          <t>Galp Energia</t>
        </is>
      </c>
      <c r="D64" s="6" t="n">
        <v>0</v>
      </c>
      <c r="E64" s="6" t="n">
        <v>0</v>
      </c>
      <c r="F64" s="7" t="inlineStr">
        <is>
          <t>Closed</t>
        </is>
      </c>
    </row>
    <row r="65">
      <c r="A65" s="5" t="inlineStr">
        <is>
          <t>Leuna</t>
        </is>
      </c>
      <c r="B65" s="6" t="inlineStr">
        <is>
          <t>Germany</t>
        </is>
      </c>
      <c r="C65" s="6" t="inlineStr">
        <is>
          <t>TotalEnergies</t>
        </is>
      </c>
      <c r="D65" s="6" t="n">
        <v>236</v>
      </c>
      <c r="E65" s="6" t="n">
        <v>11.2</v>
      </c>
      <c r="F65" s="7" t="inlineStr">
        <is>
          <t>Open</t>
        </is>
      </c>
    </row>
    <row r="66">
      <c r="A66" s="5" t="inlineStr">
        <is>
          <t>Lingen</t>
        </is>
      </c>
      <c r="B66" s="6" t="inlineStr">
        <is>
          <t>Germany</t>
        </is>
      </c>
      <c r="C66" s="6" t="inlineStr">
        <is>
          <t>BP</t>
        </is>
      </c>
      <c r="D66" s="6" t="n">
        <v>97</v>
      </c>
      <c r="E66" s="6" t="n">
        <v>4.61</v>
      </c>
      <c r="F66" s="7" t="inlineStr">
        <is>
          <t>Open</t>
        </is>
      </c>
    </row>
    <row r="67">
      <c r="A67" s="5" t="inlineStr">
        <is>
          <t>Litvinov</t>
        </is>
      </c>
      <c r="B67" s="6" t="inlineStr">
        <is>
          <t>Czechia</t>
        </is>
      </c>
      <c r="C67" s="6" t="inlineStr">
        <is>
          <t>Orlen</t>
        </is>
      </c>
      <c r="D67" s="6" t="n">
        <v>103</v>
      </c>
      <c r="E67" s="6" t="n">
        <v>5.15</v>
      </c>
      <c r="F67" s="7" t="inlineStr">
        <is>
          <t>Open</t>
        </is>
      </c>
    </row>
    <row r="68">
      <c r="A68" s="5" t="inlineStr">
        <is>
          <t>Livorno</t>
        </is>
      </c>
      <c r="B68" s="6" t="inlineStr">
        <is>
          <t>Italy</t>
        </is>
      </c>
      <c r="C68" s="6" t="inlineStr">
        <is>
          <t>ENI</t>
        </is>
      </c>
      <c r="D68" s="6" t="n">
        <v>0</v>
      </c>
      <c r="E68" s="6" t="n">
        <v>0</v>
      </c>
      <c r="F68" s="7" t="inlineStr">
        <is>
          <t>Closed</t>
        </is>
      </c>
    </row>
    <row r="69">
      <c r="A69" s="5" t="inlineStr">
        <is>
          <t>Lubrisur</t>
        </is>
      </c>
      <c r="B69" s="6" t="inlineStr">
        <is>
          <t>Spain</t>
        </is>
      </c>
      <c r="C69" s="6" t="inlineStr">
        <is>
          <t>MOEVE</t>
        </is>
      </c>
      <c r="D69" s="6" t="n">
        <v>0</v>
      </c>
      <c r="E69" s="6" t="n">
        <v>0</v>
      </c>
      <c r="F69" s="7" t="inlineStr">
        <is>
          <t>Closed</t>
        </is>
      </c>
    </row>
    <row r="70">
      <c r="A70" s="5" t="inlineStr">
        <is>
          <t>Lysekil</t>
        </is>
      </c>
      <c r="B70" s="6" t="inlineStr">
        <is>
          <t>Sweden</t>
        </is>
      </c>
      <c r="C70" s="6" t="inlineStr">
        <is>
          <t>VAROPreem</t>
        </is>
      </c>
      <c r="D70" s="6" t="n">
        <v>221</v>
      </c>
      <c r="E70" s="6" t="n">
        <v>10.5</v>
      </c>
      <c r="F70" s="7" t="inlineStr">
        <is>
          <t>Open</t>
        </is>
      </c>
    </row>
    <row r="71">
      <c r="A71" s="5" t="inlineStr">
        <is>
          <t>Mantova (Frassino)</t>
        </is>
      </c>
      <c r="B71" s="6" t="inlineStr">
        <is>
          <t>Italy</t>
        </is>
      </c>
      <c r="C71" s="6" t="inlineStr">
        <is>
          <t>MOL</t>
        </is>
      </c>
      <c r="D71" s="6" t="n">
        <v>0</v>
      </c>
      <c r="E71" s="6" t="n">
        <v>0</v>
      </c>
      <c r="F71" s="7" t="inlineStr">
        <is>
          <t>Closed</t>
        </is>
      </c>
    </row>
    <row r="72">
      <c r="A72" s="5" t="inlineStr">
        <is>
          <t>Mazeikiu (Lietuva)</t>
        </is>
      </c>
      <c r="B72" s="6" t="inlineStr">
        <is>
          <t>Lithuania</t>
        </is>
      </c>
      <c r="C72" s="6" t="inlineStr">
        <is>
          <t>Orlen</t>
        </is>
      </c>
      <c r="D72" s="6" t="n">
        <v>204</v>
      </c>
      <c r="E72" s="6" t="n">
        <v>9.69</v>
      </c>
      <c r="F72" s="7" t="inlineStr">
        <is>
          <t>Open</t>
        </is>
      </c>
    </row>
    <row r="73">
      <c r="A73" s="5" t="inlineStr">
        <is>
          <t>Milford Haven</t>
        </is>
      </c>
      <c r="B73" s="6" t="inlineStr">
        <is>
          <t>United Kingdom</t>
        </is>
      </c>
      <c r="C73" s="6" t="inlineStr">
        <is>
          <t>Murco</t>
        </is>
      </c>
      <c r="D73" s="6" t="n">
        <v>0</v>
      </c>
      <c r="E73" s="6" t="n">
        <v>0</v>
      </c>
      <c r="F73" s="7" t="inlineStr">
        <is>
          <t>Closed</t>
        </is>
      </c>
    </row>
    <row r="74">
      <c r="A74" s="5" t="inlineStr">
        <is>
          <t>Mongstad</t>
        </is>
      </c>
      <c r="B74" s="6" t="inlineStr">
        <is>
          <t>Norway</t>
        </is>
      </c>
      <c r="C74" s="6" t="inlineStr">
        <is>
          <t>Equinor+Shell</t>
        </is>
      </c>
      <c r="D74" s="6" t="n">
        <v>219</v>
      </c>
      <c r="E74" s="6" t="n">
        <v>10.39</v>
      </c>
      <c r="F74" s="7" t="inlineStr">
        <is>
          <t>Open</t>
        </is>
      </c>
    </row>
    <row r="75">
      <c r="A75" s="5" t="inlineStr">
        <is>
          <t>Naantali</t>
        </is>
      </c>
      <c r="B75" s="6" t="inlineStr">
        <is>
          <t>Finland</t>
        </is>
      </c>
      <c r="C75" s="6" t="inlineStr">
        <is>
          <t>Neste</t>
        </is>
      </c>
      <c r="D75" s="6" t="n">
        <v>0</v>
      </c>
      <c r="E75" s="6" t="n">
        <v>0</v>
      </c>
      <c r="F75" s="7" t="inlineStr">
        <is>
          <t>Closed</t>
        </is>
      </c>
    </row>
    <row r="76">
      <c r="A76" s="5" t="inlineStr">
        <is>
          <t>Navodari (Constanza)</t>
        </is>
      </c>
      <c r="B76" s="6" t="inlineStr">
        <is>
          <t>Romania</t>
        </is>
      </c>
      <c r="C76" s="6" t="inlineStr">
        <is>
          <t>Petromidia (KMG International)</t>
        </is>
      </c>
      <c r="D76" s="6" t="n">
        <v>110</v>
      </c>
      <c r="E76" s="6" t="n">
        <v>5.5</v>
      </c>
      <c r="F76" s="7" t="inlineStr">
        <is>
          <t>Open</t>
        </is>
      </c>
    </row>
    <row r="77">
      <c r="A77" s="5" t="inlineStr">
        <is>
          <t>NRC (Rotterdam)</t>
        </is>
      </c>
      <c r="B77" s="6" t="inlineStr">
        <is>
          <t>Netherlands</t>
        </is>
      </c>
      <c r="C77" s="6" t="inlineStr">
        <is>
          <t>BP</t>
        </is>
      </c>
      <c r="D77" s="6" t="n">
        <v>394</v>
      </c>
      <c r="E77" s="6" t="n">
        <v>18.72</v>
      </c>
      <c r="F77" s="7" t="inlineStr">
        <is>
          <t>Open</t>
        </is>
      </c>
    </row>
    <row r="78">
      <c r="A78" s="5" t="inlineStr">
        <is>
          <t>Nynasham</t>
        </is>
      </c>
      <c r="B78" s="6" t="inlineStr">
        <is>
          <t>Sweden</t>
        </is>
      </c>
      <c r="C78" s="6" t="inlineStr">
        <is>
          <t>Nynas</t>
        </is>
      </c>
      <c r="D78" s="6" t="n">
        <v>32</v>
      </c>
      <c r="E78" s="6" t="n">
        <v>1.52</v>
      </c>
      <c r="F78" s="7" t="inlineStr">
        <is>
          <t>Open</t>
        </is>
      </c>
    </row>
    <row r="79">
      <c r="A79" s="5" t="inlineStr">
        <is>
          <t>Pardubice</t>
        </is>
      </c>
      <c r="B79" s="6" t="inlineStr">
        <is>
          <t>Czechia</t>
        </is>
      </c>
      <c r="C79" s="6" t="inlineStr">
        <is>
          <t>Paramo (Orlen)</t>
        </is>
      </c>
      <c r="D79" s="6" t="n">
        <v>0</v>
      </c>
      <c r="E79" s="6" t="n">
        <v>0</v>
      </c>
      <c r="F79" s="7" t="inlineStr">
        <is>
          <t>Closed</t>
        </is>
      </c>
    </row>
    <row r="80">
      <c r="A80" s="5" t="inlineStr">
        <is>
          <t>Pembroke</t>
        </is>
      </c>
      <c r="B80" s="6" t="inlineStr">
        <is>
          <t>United Kingdom</t>
        </is>
      </c>
      <c r="C80" s="6" t="inlineStr">
        <is>
          <t>Valero</t>
        </is>
      </c>
      <c r="D80" s="6" t="n">
        <v>221</v>
      </c>
      <c r="E80" s="6" t="n">
        <v>10.5</v>
      </c>
      <c r="F80" s="7" t="inlineStr">
        <is>
          <t>Open</t>
        </is>
      </c>
    </row>
    <row r="81">
      <c r="A81" s="5" t="inlineStr">
        <is>
          <t>Pernis</t>
        </is>
      </c>
      <c r="B81" s="6" t="inlineStr">
        <is>
          <t>Netherlands</t>
        </is>
      </c>
      <c r="C81" s="6" t="inlineStr">
        <is>
          <t>Shell+Statoil</t>
        </is>
      </c>
      <c r="D81" s="6" t="n">
        <v>425</v>
      </c>
      <c r="E81" s="6" t="n">
        <v>20.19</v>
      </c>
      <c r="F81" s="7" t="inlineStr">
        <is>
          <t>Open</t>
        </is>
      </c>
    </row>
    <row r="82">
      <c r="A82" s="5" t="inlineStr">
        <is>
          <t>Petit Couronne</t>
        </is>
      </c>
      <c r="B82" s="6" t="inlineStr">
        <is>
          <t>France</t>
        </is>
      </c>
      <c r="C82" s="6" t="inlineStr">
        <is>
          <t>Petroplus</t>
        </is>
      </c>
      <c r="D82" s="6" t="n">
        <v>0</v>
      </c>
      <c r="E82" s="6" t="n">
        <v>0</v>
      </c>
      <c r="F82" s="7" t="inlineStr">
        <is>
          <t>Closed</t>
        </is>
      </c>
    </row>
    <row r="83">
      <c r="A83" s="5" t="inlineStr">
        <is>
          <t>Petrobrazi (Ploiesti)</t>
        </is>
      </c>
      <c r="B83" s="6" t="inlineStr">
        <is>
          <t>Romania</t>
        </is>
      </c>
      <c r="C83" s="6" t="inlineStr">
        <is>
          <t>OMV</t>
        </is>
      </c>
      <c r="D83" s="6" t="n">
        <v>86</v>
      </c>
      <c r="E83" s="6" t="n">
        <v>4.09</v>
      </c>
      <c r="F83" s="7" t="inlineStr">
        <is>
          <t>Open</t>
        </is>
      </c>
    </row>
    <row r="84">
      <c r="A84" s="5" t="inlineStr">
        <is>
          <t>Petronor (Somorrostro)</t>
        </is>
      </c>
      <c r="B84" s="6" t="inlineStr">
        <is>
          <t>Spain</t>
        </is>
      </c>
      <c r="C84" s="6" t="inlineStr">
        <is>
          <t>Repsol</t>
        </is>
      </c>
      <c r="D84" s="6" t="n">
        <v>232</v>
      </c>
      <c r="E84" s="6" t="n">
        <v>11</v>
      </c>
      <c r="F84" s="7" t="inlineStr">
        <is>
          <t>Open</t>
        </is>
      </c>
    </row>
    <row r="85">
      <c r="A85" s="5" t="inlineStr">
        <is>
          <t>Pitea Biorefinery</t>
        </is>
      </c>
      <c r="B85" s="6" t="inlineStr">
        <is>
          <t>Sweden</t>
        </is>
      </c>
      <c r="C85" s="6" t="inlineStr">
        <is>
          <t>VAROPreem</t>
        </is>
      </c>
      <c r="D85" s="6" t="inlineStr">
        <is>
          <t>n/a</t>
        </is>
      </c>
      <c r="E85" s="6" t="n">
        <v>0.05</v>
      </c>
      <c r="F85" s="7" t="inlineStr">
        <is>
          <t>Open</t>
        </is>
      </c>
    </row>
    <row r="86">
      <c r="A86" s="5" t="inlineStr">
        <is>
          <t>Pitesti</t>
        </is>
      </c>
      <c r="B86" s="6" t="inlineStr">
        <is>
          <t>Romania</t>
        </is>
      </c>
      <c r="C86" s="6" t="inlineStr">
        <is>
          <t>Arpechim (Petrom)</t>
        </is>
      </c>
      <c r="D86" s="6" t="n">
        <v>0</v>
      </c>
      <c r="E86" s="6" t="n">
        <v>0</v>
      </c>
      <c r="F86" s="7" t="inlineStr">
        <is>
          <t>Closed</t>
        </is>
      </c>
    </row>
    <row r="87">
      <c r="A87" s="5" t="inlineStr">
        <is>
          <t>Plock</t>
        </is>
      </c>
      <c r="B87" s="6" t="inlineStr">
        <is>
          <t>Poland</t>
        </is>
      </c>
      <c r="C87" s="6" t="inlineStr">
        <is>
          <t>Orlen</t>
        </is>
      </c>
      <c r="D87" s="6" t="n">
        <v>399.3</v>
      </c>
      <c r="E87" s="6" t="n">
        <v>19.97</v>
      </c>
      <c r="F87" s="7" t="inlineStr">
        <is>
          <t>Open</t>
        </is>
      </c>
    </row>
    <row r="88">
      <c r="A88" s="5" t="inlineStr">
        <is>
          <t>Ploiesti</t>
        </is>
      </c>
      <c r="B88" s="6" t="inlineStr">
        <is>
          <t>Romania</t>
        </is>
      </c>
      <c r="C88" s="6" t="inlineStr">
        <is>
          <t>Petrotel (Lukoil)</t>
        </is>
      </c>
      <c r="D88" s="6" t="n">
        <v>54.3</v>
      </c>
      <c r="E88" s="6" t="n">
        <v>2.72</v>
      </c>
      <c r="F88" s="7" t="inlineStr">
        <is>
          <t>Open</t>
        </is>
      </c>
    </row>
    <row r="89">
      <c r="A89" s="5" t="inlineStr">
        <is>
          <t>Ploiesti (Vega)</t>
        </is>
      </c>
      <c r="B89" s="6" t="inlineStr">
        <is>
          <t>Romania</t>
        </is>
      </c>
      <c r="C89" s="6" t="inlineStr">
        <is>
          <t>Rompetrol</t>
        </is>
      </c>
      <c r="D89" s="6" t="n">
        <v>0</v>
      </c>
      <c r="E89" s="6" t="n">
        <v>0</v>
      </c>
      <c r="F89" s="7" t="inlineStr">
        <is>
          <t>Closed</t>
        </is>
      </c>
    </row>
    <row r="90">
      <c r="A90" s="5" t="inlineStr">
        <is>
          <t>Port-Jerome</t>
        </is>
      </c>
      <c r="B90" s="6" t="inlineStr">
        <is>
          <t>France</t>
        </is>
      </c>
      <c r="C90" s="6" t="inlineStr">
        <is>
          <t>North Atlantic</t>
        </is>
      </c>
      <c r="D90" s="6" t="n">
        <v>247.9</v>
      </c>
      <c r="E90" s="6" t="n">
        <v>12.4</v>
      </c>
      <c r="F90" s="7" t="inlineStr">
        <is>
          <t>Open</t>
        </is>
      </c>
    </row>
    <row r="91">
      <c r="A91" s="5" t="inlineStr">
        <is>
          <t>Porto Marghera Biorefinery</t>
        </is>
      </c>
      <c r="B91" s="6" t="inlineStr">
        <is>
          <t>Italy</t>
        </is>
      </c>
      <c r="C91" s="6" t="inlineStr">
        <is>
          <t>ENI</t>
        </is>
      </c>
      <c r="D91" s="6" t="inlineStr">
        <is>
          <t>n/a</t>
        </is>
      </c>
      <c r="E91" s="6" t="n">
        <v>1.1</v>
      </c>
      <c r="F91" s="7" t="inlineStr">
        <is>
          <t>Open</t>
        </is>
      </c>
    </row>
    <row r="92">
      <c r="A92" s="5" t="inlineStr">
        <is>
          <t>Porvoo</t>
        </is>
      </c>
      <c r="B92" s="6" t="inlineStr">
        <is>
          <t>Finland</t>
        </is>
      </c>
      <c r="C92" s="6" t="inlineStr">
        <is>
          <t>Neste</t>
        </is>
      </c>
      <c r="D92" s="6" t="n">
        <v>215.8</v>
      </c>
      <c r="E92" s="6" t="n">
        <v>10.79</v>
      </c>
      <c r="F92" s="7" t="inlineStr">
        <is>
          <t>Open</t>
        </is>
      </c>
    </row>
    <row r="93">
      <c r="A93" s="5" t="inlineStr">
        <is>
          <t>Porvoo</t>
        </is>
      </c>
      <c r="B93" s="6" t="inlineStr">
        <is>
          <t>Finland</t>
        </is>
      </c>
      <c r="C93" s="6" t="inlineStr">
        <is>
          <t>Neste</t>
        </is>
      </c>
      <c r="D93" s="6" t="inlineStr">
        <is>
          <t>n/a</t>
        </is>
      </c>
      <c r="E93" s="6" t="n">
        <v>5</v>
      </c>
      <c r="F93" s="7" t="inlineStr">
        <is>
          <t>Open</t>
        </is>
      </c>
    </row>
    <row r="94">
      <c r="A94" s="5" t="inlineStr">
        <is>
          <t>Priolo &amp; Melilli</t>
        </is>
      </c>
      <c r="B94" s="6" t="inlineStr">
        <is>
          <t>Italy</t>
        </is>
      </c>
      <c r="C94" s="6" t="inlineStr">
        <is>
          <t>GOI Energy</t>
        </is>
      </c>
      <c r="D94" s="6" t="n">
        <v>320</v>
      </c>
      <c r="E94" s="6" t="n">
        <v>16</v>
      </c>
      <c r="F94" s="7" t="inlineStr">
        <is>
          <t>Open</t>
        </is>
      </c>
    </row>
    <row r="95">
      <c r="A95" s="5" t="inlineStr">
        <is>
          <t>Puertollano</t>
        </is>
      </c>
      <c r="B95" s="6" t="inlineStr">
        <is>
          <t>Spain</t>
        </is>
      </c>
      <c r="C95" s="6" t="inlineStr">
        <is>
          <t>Repsol</t>
        </is>
      </c>
      <c r="D95" s="6" t="n">
        <v>157.89</v>
      </c>
      <c r="E95" s="6" t="n">
        <v>7.89</v>
      </c>
      <c r="F95" s="7" t="inlineStr">
        <is>
          <t>Open</t>
        </is>
      </c>
    </row>
    <row r="96">
      <c r="A96" s="5" t="inlineStr">
        <is>
          <t>RAM (Milazzo)</t>
        </is>
      </c>
      <c r="B96" s="6" t="inlineStr">
        <is>
          <t>Italy</t>
        </is>
      </c>
      <c r="C96" s="6" t="inlineStr">
        <is>
          <t>ENI/KPI</t>
        </is>
      </c>
      <c r="D96" s="6" t="n">
        <v>254</v>
      </c>
      <c r="E96" s="6" t="n">
        <v>12.07</v>
      </c>
      <c r="F96" s="7" t="inlineStr">
        <is>
          <t>Open</t>
        </is>
      </c>
    </row>
    <row r="97">
      <c r="A97" s="5" t="inlineStr">
        <is>
          <t>Ravenna</t>
        </is>
      </c>
      <c r="B97" s="6" t="inlineStr">
        <is>
          <t>Italy</t>
        </is>
      </c>
      <c r="C97" s="6" t="inlineStr">
        <is>
          <t>ALMA</t>
        </is>
      </c>
      <c r="D97" s="6" t="n">
        <v>10</v>
      </c>
      <c r="E97" s="6" t="n">
        <v>0.5</v>
      </c>
      <c r="F97" s="7" t="inlineStr">
        <is>
          <t>Open</t>
        </is>
      </c>
    </row>
    <row r="98">
      <c r="A98" s="5" t="inlineStr">
        <is>
          <t>Reichstett</t>
        </is>
      </c>
      <c r="B98" s="6" t="inlineStr">
        <is>
          <t>France</t>
        </is>
      </c>
      <c r="C98" s="6" t="inlineStr">
        <is>
          <t>Petroplus</t>
        </is>
      </c>
      <c r="D98" s="6" t="n">
        <v>0</v>
      </c>
      <c r="E98" s="6" t="n">
        <v>0</v>
      </c>
      <c r="F98" s="7" t="inlineStr">
        <is>
          <t>Closed</t>
        </is>
      </c>
    </row>
    <row r="99">
      <c r="A99" s="5" t="inlineStr">
        <is>
          <t>Rheinland</t>
        </is>
      </c>
      <c r="B99" s="6" t="inlineStr">
        <is>
          <t>Germany</t>
        </is>
      </c>
      <c r="C99" s="6" t="inlineStr">
        <is>
          <t>Shell</t>
        </is>
      </c>
      <c r="D99" s="6" t="n">
        <v>342.1</v>
      </c>
      <c r="E99" s="6" t="n">
        <v>17.11</v>
      </c>
      <c r="F99" s="7" t="inlineStr">
        <is>
          <t>Open</t>
        </is>
      </c>
    </row>
    <row r="100">
      <c r="A100" s="5" t="inlineStr">
        <is>
          <t>Rijeka</t>
        </is>
      </c>
      <c r="B100" s="6" t="inlineStr">
        <is>
          <t>Croatia</t>
        </is>
      </c>
      <c r="C100" s="6" t="inlineStr">
        <is>
          <t>INA</t>
        </is>
      </c>
      <c r="D100" s="6" t="n">
        <v>94.90000000000001</v>
      </c>
      <c r="E100" s="6" t="n">
        <v>4.75</v>
      </c>
      <c r="F100" s="7" t="inlineStr">
        <is>
          <t>Open</t>
        </is>
      </c>
    </row>
    <row r="101">
      <c r="A101" s="5" t="inlineStr">
        <is>
          <t>Roma</t>
        </is>
      </c>
      <c r="B101" s="6" t="inlineStr">
        <is>
          <t>Italy</t>
        </is>
      </c>
      <c r="C101" s="6" t="inlineStr">
        <is>
          <t>TotalEnergies/ERG</t>
        </is>
      </c>
      <c r="D101" s="6" t="n">
        <v>0</v>
      </c>
      <c r="E101" s="6" t="n">
        <v>0</v>
      </c>
      <c r="F101" s="7" t="inlineStr">
        <is>
          <t>Closed</t>
        </is>
      </c>
    </row>
    <row r="102">
      <c r="A102" s="5" t="inlineStr">
        <is>
          <t>Rotterdam</t>
        </is>
      </c>
      <c r="B102" s="6" t="inlineStr">
        <is>
          <t>Netherlands</t>
        </is>
      </c>
      <c r="C102" s="6" t="inlineStr">
        <is>
          <t>ExxonMobil</t>
        </is>
      </c>
      <c r="D102" s="6" t="n">
        <v>201.1</v>
      </c>
      <c r="E102" s="6" t="n">
        <v>10.06</v>
      </c>
      <c r="F102" s="7" t="inlineStr">
        <is>
          <t>Open</t>
        </is>
      </c>
    </row>
    <row r="103">
      <c r="A103" s="5" t="inlineStr">
        <is>
          <t>Rotterdam</t>
        </is>
      </c>
      <c r="B103" s="6" t="inlineStr">
        <is>
          <t>Netherlands</t>
        </is>
      </c>
      <c r="C103" s="6" t="inlineStr">
        <is>
          <t>Gunvor</t>
        </is>
      </c>
      <c r="D103" s="6" t="n">
        <v>0</v>
      </c>
      <c r="E103" s="6" t="n">
        <v>0</v>
      </c>
      <c r="F103" s="7" t="inlineStr">
        <is>
          <t>Closed</t>
        </is>
      </c>
    </row>
    <row r="104">
      <c r="A104" s="5" t="inlineStr">
        <is>
          <t>Rotterdam</t>
        </is>
      </c>
      <c r="B104" s="6" t="inlineStr">
        <is>
          <t>Netherlands</t>
        </is>
      </c>
      <c r="C104" s="6" t="inlineStr">
        <is>
          <t>Vitol (VPR Energy)</t>
        </is>
      </c>
      <c r="D104" s="6" t="n">
        <v>84</v>
      </c>
      <c r="E104" s="6" t="n">
        <v>4.2</v>
      </c>
      <c r="F104" s="7" t="inlineStr">
        <is>
          <t>Open</t>
        </is>
      </c>
    </row>
    <row r="105">
      <c r="A105" s="5" t="inlineStr">
        <is>
          <t>Rotterdam Biorefinery</t>
        </is>
      </c>
      <c r="B105" s="6" t="inlineStr">
        <is>
          <t>Netherlands</t>
        </is>
      </c>
      <c r="C105" s="6" t="inlineStr">
        <is>
          <t>Neste</t>
        </is>
      </c>
      <c r="D105" s="6" t="inlineStr">
        <is>
          <t>n/a</t>
        </is>
      </c>
      <c r="E105" s="6" t="n">
        <v>1.4</v>
      </c>
      <c r="F105" s="7" t="inlineStr">
        <is>
          <t>Open</t>
        </is>
      </c>
    </row>
    <row r="106">
      <c r="A106" s="5" t="inlineStr">
        <is>
          <t>Salzbergen</t>
        </is>
      </c>
      <c r="B106" s="6" t="inlineStr">
        <is>
          <t>Germany</t>
        </is>
      </c>
      <c r="C106" s="6" t="inlineStr">
        <is>
          <t>H&amp;R</t>
        </is>
      </c>
      <c r="D106" s="6" t="n">
        <v>7.4</v>
      </c>
      <c r="E106" s="6" t="n">
        <v>0.37</v>
      </c>
      <c r="F106" s="7" t="inlineStr">
        <is>
          <t>Open</t>
        </is>
      </c>
    </row>
    <row r="107">
      <c r="A107" s="5" t="inlineStr">
        <is>
          <t>San Roque</t>
        </is>
      </c>
      <c r="B107" s="6" t="inlineStr">
        <is>
          <t>Spain</t>
        </is>
      </c>
      <c r="C107" s="6" t="inlineStr">
        <is>
          <t>MOEVE</t>
        </is>
      </c>
      <c r="D107" s="6" t="n">
        <v>250</v>
      </c>
      <c r="E107" s="6" t="n">
        <v>12.5</v>
      </c>
      <c r="F107" s="7" t="inlineStr">
        <is>
          <t>Open</t>
        </is>
      </c>
    </row>
    <row r="108">
      <c r="A108" s="5" t="inlineStr">
        <is>
          <t>Sannazzaro</t>
        </is>
      </c>
      <c r="B108" s="6" t="inlineStr">
        <is>
          <t>Italy</t>
        </is>
      </c>
      <c r="C108" s="6" t="inlineStr">
        <is>
          <t>ENI</t>
        </is>
      </c>
      <c r="D108" s="6" t="n">
        <v>210.53</v>
      </c>
      <c r="E108" s="6" t="n">
        <v>10.53</v>
      </c>
      <c r="F108" s="7" t="inlineStr">
        <is>
          <t>Open</t>
        </is>
      </c>
    </row>
    <row r="109">
      <c r="A109" s="5" t="inlineStr">
        <is>
          <t>SARA</t>
        </is>
      </c>
      <c r="B109" s="6" t="inlineStr">
        <is>
          <t>France</t>
        </is>
      </c>
      <c r="C109" s="6" t="inlineStr">
        <is>
          <t>SARA</t>
        </is>
      </c>
      <c r="D109" s="6" t="n">
        <v>18.2</v>
      </c>
      <c r="E109" s="6" t="n">
        <v>0.91</v>
      </c>
      <c r="F109" s="7" t="inlineStr">
        <is>
          <t>Open</t>
        </is>
      </c>
    </row>
    <row r="110">
      <c r="A110" s="5" t="inlineStr">
        <is>
          <t>Sarroch</t>
        </is>
      </c>
      <c r="B110" s="6" t="inlineStr">
        <is>
          <t>Italy</t>
        </is>
      </c>
      <c r="C110" s="6" t="inlineStr">
        <is>
          <t>Vitol</t>
        </is>
      </c>
      <c r="D110" s="6" t="n">
        <v>315.8</v>
      </c>
      <c r="E110" s="6" t="n">
        <v>15.79</v>
      </c>
      <c r="F110" s="7" t="inlineStr">
        <is>
          <t>Open</t>
        </is>
      </c>
    </row>
    <row r="111">
      <c r="A111" s="5" t="inlineStr">
        <is>
          <t>Schwechat</t>
        </is>
      </c>
      <c r="B111" s="6" t="inlineStr">
        <is>
          <t>Austria</t>
        </is>
      </c>
      <c r="C111" s="6" t="inlineStr">
        <is>
          <t>OMV</t>
        </is>
      </c>
      <c r="D111" s="6" t="n">
        <v>203.9</v>
      </c>
      <c r="E111" s="6" t="n">
        <v>10.2</v>
      </c>
      <c r="F111" s="7" t="inlineStr">
        <is>
          <t>Open</t>
        </is>
      </c>
    </row>
    <row r="112">
      <c r="A112" s="5" t="inlineStr">
        <is>
          <t>Schwedt</t>
        </is>
      </c>
      <c r="B112" s="6" t="inlineStr">
        <is>
          <t>Germany</t>
        </is>
      </c>
      <c r="C112" s="6" t="inlineStr">
        <is>
          <t>PCK (Shell/Bundesnetzagentur/ENI)</t>
        </is>
      </c>
      <c r="D112" s="6" t="n">
        <v>225</v>
      </c>
      <c r="E112" s="6" t="n">
        <v>10.71</v>
      </c>
      <c r="F112" s="7" t="inlineStr">
        <is>
          <t>Open</t>
        </is>
      </c>
    </row>
    <row r="113">
      <c r="A113" s="5" t="inlineStr">
        <is>
          <t>Sines</t>
        </is>
      </c>
      <c r="B113" s="6" t="inlineStr">
        <is>
          <t>Portugal</t>
        </is>
      </c>
      <c r="C113" s="6" t="inlineStr">
        <is>
          <t>Galp Energia</t>
        </is>
      </c>
      <c r="D113" s="6" t="n">
        <v>237.9</v>
      </c>
      <c r="E113" s="6" t="n">
        <v>11.9</v>
      </c>
      <c r="F113" s="7" t="inlineStr">
        <is>
          <t>Open</t>
        </is>
      </c>
    </row>
    <row r="114">
      <c r="A114" s="5" t="inlineStr">
        <is>
          <t>Sisak</t>
        </is>
      </c>
      <c r="B114" s="6" t="inlineStr">
        <is>
          <t>Croatia</t>
        </is>
      </c>
      <c r="C114" s="6" t="inlineStr">
        <is>
          <t>INA</t>
        </is>
      </c>
      <c r="D114" s="6" t="n">
        <v>0</v>
      </c>
      <c r="E114" s="6" t="n">
        <v>0</v>
      </c>
      <c r="F114" s="7" t="inlineStr">
        <is>
          <t>Closed</t>
        </is>
      </c>
    </row>
    <row r="115">
      <c r="A115" s="5" t="inlineStr">
        <is>
          <t>Sisak</t>
        </is>
      </c>
      <c r="B115" s="6" t="inlineStr">
        <is>
          <t>Croatia</t>
        </is>
      </c>
      <c r="C115" s="6" t="inlineStr">
        <is>
          <t>INA</t>
        </is>
      </c>
      <c r="D115" s="6" t="n">
        <v>0</v>
      </c>
      <c r="E115" s="6" t="n">
        <v>0</v>
      </c>
      <c r="F115" s="7" t="inlineStr">
        <is>
          <t>Closed</t>
        </is>
      </c>
    </row>
    <row r="116">
      <c r="A116" s="5" t="inlineStr">
        <is>
          <t>Slagen</t>
        </is>
      </c>
      <c r="B116" s="6" t="inlineStr">
        <is>
          <t>Norway</t>
        </is>
      </c>
      <c r="C116" s="6" t="inlineStr">
        <is>
          <t>ExxonMobil</t>
        </is>
      </c>
      <c r="D116" s="6" t="n">
        <v>0</v>
      </c>
      <c r="E116" s="6" t="n">
        <v>0</v>
      </c>
      <c r="F116" s="7" t="inlineStr">
        <is>
          <t>Closed</t>
        </is>
      </c>
    </row>
    <row r="117">
      <c r="A117" s="5" t="inlineStr">
        <is>
          <t>Slovnaft (Bratislava)</t>
        </is>
      </c>
      <c r="B117" s="6" t="inlineStr">
        <is>
          <t>Slovakia</t>
        </is>
      </c>
      <c r="C117" s="6" t="inlineStr">
        <is>
          <t>MOL</t>
        </is>
      </c>
      <c r="D117" s="6" t="n">
        <v>112</v>
      </c>
      <c r="E117" s="6" t="n">
        <v>5.6</v>
      </c>
      <c r="F117" s="7" t="inlineStr">
        <is>
          <t>Open</t>
        </is>
      </c>
    </row>
    <row r="118">
      <c r="A118" s="5" t="inlineStr">
        <is>
          <t>Stanlow</t>
        </is>
      </c>
      <c r="B118" s="6" t="inlineStr">
        <is>
          <t>United Kingdom</t>
        </is>
      </c>
      <c r="C118" s="6" t="inlineStr">
        <is>
          <t>Essar</t>
        </is>
      </c>
      <c r="D118" s="6" t="n">
        <v>205.3</v>
      </c>
      <c r="E118" s="6" t="n">
        <v>10.27</v>
      </c>
      <c r="F118" s="7" t="inlineStr">
        <is>
          <t>Open</t>
        </is>
      </c>
    </row>
    <row r="119">
      <c r="A119" s="5" t="inlineStr">
        <is>
          <t>Szazhalombata (Duna)</t>
        </is>
      </c>
      <c r="B119" s="6" t="inlineStr">
        <is>
          <t>Hungary</t>
        </is>
      </c>
      <c r="C119" s="6" t="inlineStr">
        <is>
          <t>MOL</t>
        </is>
      </c>
      <c r="D119" s="6" t="n">
        <v>162</v>
      </c>
      <c r="E119" s="6" t="n">
        <v>8.1</v>
      </c>
      <c r="F119" s="7" t="inlineStr">
        <is>
          <t>Open</t>
        </is>
      </c>
    </row>
    <row r="120">
      <c r="A120" s="5" t="inlineStr">
        <is>
          <t>Taranto</t>
        </is>
      </c>
      <c r="B120" s="6" t="inlineStr">
        <is>
          <t>Italy</t>
        </is>
      </c>
      <c r="C120" s="6" t="inlineStr">
        <is>
          <t>ENI</t>
        </is>
      </c>
      <c r="D120" s="6" t="n">
        <v>88.42</v>
      </c>
      <c r="E120" s="6" t="n">
        <v>4.42</v>
      </c>
      <c r="F120" s="7" t="inlineStr">
        <is>
          <t>Open</t>
        </is>
      </c>
    </row>
    <row r="121">
      <c r="A121" s="5" t="inlineStr">
        <is>
          <t>Tarragona</t>
        </is>
      </c>
      <c r="B121" s="6" t="inlineStr">
        <is>
          <t>Spain</t>
        </is>
      </c>
      <c r="C121" s="6" t="inlineStr">
        <is>
          <t>Repsol</t>
        </is>
      </c>
      <c r="D121" s="6" t="n">
        <v>189.47</v>
      </c>
      <c r="E121" s="6" t="n">
        <v>9.470000000000001</v>
      </c>
      <c r="F121" s="7" t="inlineStr">
        <is>
          <t>Open</t>
        </is>
      </c>
    </row>
    <row r="122">
      <c r="A122" s="5" t="inlineStr">
        <is>
          <t>Teesside</t>
        </is>
      </c>
      <c r="B122" s="6" t="inlineStr">
        <is>
          <t>United Kingdom</t>
        </is>
      </c>
      <c r="C122" s="6" t="inlineStr">
        <is>
          <t>Petroplus</t>
        </is>
      </c>
      <c r="D122" s="6" t="n">
        <v>0</v>
      </c>
      <c r="E122" s="6" t="n">
        <v>0</v>
      </c>
      <c r="F122" s="7" t="inlineStr">
        <is>
          <t>Closed</t>
        </is>
      </c>
    </row>
    <row r="123">
      <c r="A123" s="5" t="inlineStr">
        <is>
          <t>Teneriffe</t>
        </is>
      </c>
      <c r="B123" s="6" t="inlineStr">
        <is>
          <t>Spain</t>
        </is>
      </c>
      <c r="C123" s="6" t="inlineStr">
        <is>
          <t>MOEVE</t>
        </is>
      </c>
      <c r="D123" s="6" t="n">
        <v>0</v>
      </c>
      <c r="E123" s="6" t="n">
        <v>0</v>
      </c>
      <c r="F123" s="7" t="inlineStr">
        <is>
          <t>Closed</t>
        </is>
      </c>
    </row>
    <row r="124">
      <c r="A124" s="5" t="inlineStr">
        <is>
          <t>Thessaloniki</t>
        </is>
      </c>
      <c r="B124" s="6" t="inlineStr">
        <is>
          <t>Greece</t>
        </is>
      </c>
      <c r="C124" s="6" t="inlineStr">
        <is>
          <t>HELLENiQ ENERGY</t>
        </is>
      </c>
      <c r="D124" s="6" t="n">
        <v>90</v>
      </c>
      <c r="E124" s="6" t="n">
        <v>4.5</v>
      </c>
      <c r="F124" s="7" t="inlineStr">
        <is>
          <t>Open</t>
        </is>
      </c>
    </row>
    <row r="125">
      <c r="A125" s="5" t="inlineStr">
        <is>
          <t>Tisza</t>
        </is>
      </c>
      <c r="B125" s="6" t="inlineStr">
        <is>
          <t>Hungary</t>
        </is>
      </c>
      <c r="C125" s="6" t="inlineStr">
        <is>
          <t>MOL</t>
        </is>
      </c>
      <c r="D125" s="6" t="n">
        <v>0</v>
      </c>
      <c r="E125" s="6" t="n">
        <v>0</v>
      </c>
      <c r="F125" s="7" t="inlineStr">
        <is>
          <t>Closed</t>
        </is>
      </c>
    </row>
    <row r="126">
      <c r="A126" s="5" t="inlineStr">
        <is>
          <t>Trecate</t>
        </is>
      </c>
      <c r="B126" s="6" t="inlineStr">
        <is>
          <t>Italy</t>
        </is>
      </c>
      <c r="C126" s="6" t="inlineStr">
        <is>
          <t>API</t>
        </is>
      </c>
      <c r="D126" s="6" t="n">
        <v>133.2</v>
      </c>
      <c r="E126" s="6" t="n">
        <v>6.66</v>
      </c>
      <c r="F126" s="7" t="inlineStr">
        <is>
          <t>Open</t>
        </is>
      </c>
    </row>
    <row r="127">
      <c r="A127" s="5" t="inlineStr">
        <is>
          <t>Trzebinia</t>
        </is>
      </c>
      <c r="B127" s="6" t="inlineStr">
        <is>
          <t>Poland</t>
        </is>
      </c>
      <c r="C127" s="6" t="inlineStr">
        <is>
          <t>Orlen</t>
        </is>
      </c>
      <c r="D127" s="6" t="n">
        <v>7.7</v>
      </c>
      <c r="E127" s="6" t="n">
        <v>0.39</v>
      </c>
      <c r="F127" s="7" t="inlineStr">
        <is>
          <t>Open</t>
        </is>
      </c>
    </row>
    <row r="128">
      <c r="A128" s="5" t="inlineStr">
        <is>
          <t>Vlissingen (Zeeland)</t>
        </is>
      </c>
      <c r="B128" s="6" t="inlineStr">
        <is>
          <t>Netherlands</t>
        </is>
      </c>
      <c r="C128" s="6" t="inlineStr">
        <is>
          <t>TotalEnergies/Lukoil</t>
        </is>
      </c>
      <c r="D128" s="6" t="n">
        <v>153</v>
      </c>
      <c r="E128" s="6" t="n">
        <v>7.65</v>
      </c>
      <c r="F128" s="7" t="inlineStr">
        <is>
          <t>Open</t>
        </is>
      </c>
    </row>
    <row r="129">
      <c r="A129" s="5" t="inlineStr">
        <is>
          <t>Whitegate</t>
        </is>
      </c>
      <c r="B129" s="6" t="inlineStr">
        <is>
          <t>Ireland</t>
        </is>
      </c>
      <c r="C129" s="6" t="inlineStr">
        <is>
          <t>IRVIN OIL</t>
        </is>
      </c>
      <c r="D129" s="6" t="n">
        <v>75</v>
      </c>
      <c r="E129" s="6" t="n">
        <v>3.75</v>
      </c>
      <c r="F129" s="7" t="inlineStr">
        <is>
          <t>Open</t>
        </is>
      </c>
    </row>
    <row r="130">
      <c r="A130" s="5" t="inlineStr">
        <is>
          <t>Wilhelmshaven</t>
        </is>
      </c>
      <c r="B130" s="6" t="inlineStr">
        <is>
          <t>Germany</t>
        </is>
      </c>
      <c r="C130" s="6" t="inlineStr">
        <is>
          <t>HES Wilhelmshaven Tank Terminal</t>
        </is>
      </c>
      <c r="D130" s="6" t="n">
        <v>63</v>
      </c>
      <c r="E130" s="6" t="n">
        <v>3</v>
      </c>
      <c r="F130" s="7" t="inlineStr">
        <is>
          <t>Open</t>
        </is>
      </c>
    </row>
    <row r="131" ht="15" customHeight="1" s="68">
      <c r="A131" s="8" t="inlineStr">
        <is>
          <t>Zala</t>
        </is>
      </c>
      <c r="B131" s="9" t="inlineStr">
        <is>
          <t>Hungary</t>
        </is>
      </c>
      <c r="C131" s="9" t="inlineStr">
        <is>
          <t>MOL</t>
        </is>
      </c>
      <c r="D131" s="9" t="n">
        <v>0</v>
      </c>
      <c r="E131" s="9" t="n">
        <v>0</v>
      </c>
      <c r="F131" s="10" t="inlineStr">
        <is>
          <t>Closed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"/>
  <sheetViews>
    <sheetView zoomScale="80" zoomScaleNormal="8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9" sqref="F9"/>
    </sheetView>
  </sheetViews>
  <sheetFormatPr baseColWidth="8" defaultColWidth="8.6640625" defaultRowHeight="14.4"/>
  <cols>
    <col width="18" customWidth="1" style="68" min="1" max="1"/>
    <col width="12" customWidth="1" style="68" min="2" max="2"/>
    <col width="11" customWidth="1" style="68" min="3" max="3"/>
    <col width="14" customWidth="1" style="68" min="4" max="8"/>
    <col width="16" customWidth="1" style="68" min="9" max="10"/>
    <col width="12" customWidth="1" style="68" min="11" max="11"/>
    <col width="14" customWidth="1" style="68" min="12" max="12"/>
    <col width="13" customWidth="1" style="68" min="13" max="13"/>
    <col width="47.21875" customWidth="1" style="68" min="14" max="14"/>
  </cols>
  <sheetData>
    <row r="1" ht="37.5" customHeight="1" s="68">
      <c r="A1" s="16" t="inlineStr">
        <is>
          <t>Company</t>
        </is>
      </c>
      <c r="B1" s="16" t="inlineStr">
        <is>
          <t>HQ
Country</t>
        </is>
      </c>
      <c r="C1" s="16" t="inlineStr">
        <is>
          <t>FY
Reported</t>
        </is>
      </c>
      <c r="D1" s="16" t="inlineStr">
        <is>
          <t>Group
revenue
(€bn)</t>
        </is>
      </c>
      <c r="E1" s="16" t="inlineStr">
        <is>
          <t>Total CAPEX
(€bn)</t>
        </is>
      </c>
      <c r="F1" s="16" t="inlineStr">
        <is>
          <t>Low-carbon
CAPEX (€bn)</t>
        </is>
      </c>
      <c r="G1" s="16" t="inlineStr">
        <is>
          <t>Low-carbon
CAPEX (% of
total)</t>
        </is>
      </c>
      <c r="H1" s="16" t="inlineStr">
        <is>
          <t>EU refining
capacity
(kbpd)</t>
        </is>
      </c>
      <c r="I1" s="16" t="inlineStr">
        <is>
          <t>Current H₂
demand (kt/y,
EU refining)
[TAB 03 SUM]</t>
        </is>
      </c>
      <c r="J1" s="16" t="inlineStr">
        <is>
          <t>Announced
green H₂ by
2030 (kt/y)</t>
        </is>
      </c>
      <c r="K1" s="16" t="inlineStr">
        <is>
          <t>Net-zero
target year</t>
        </is>
      </c>
      <c r="L1" s="16" t="inlineStr">
        <is>
          <t>Source_ID</t>
        </is>
      </c>
      <c r="M1" s="16" t="inlineStr">
        <is>
          <t>Data_
Quality</t>
        </is>
      </c>
      <c r="N1" s="16" t="inlineStr">
        <is>
          <t>Notes</t>
        </is>
      </c>
    </row>
    <row r="2" ht="144" customHeight="1" s="68">
      <c r="A2" s="17" t="inlineStr">
        <is>
          <t>Shell plc</t>
        </is>
      </c>
      <c r="B2" s="18" t="inlineStr">
        <is>
          <t>United
Kingdom</t>
        </is>
      </c>
      <c r="C2" s="18" t="inlineStr">
        <is>
          <t>2024</t>
        </is>
      </c>
      <c r="D2" s="19" t="n">
        <v>263.7</v>
      </c>
      <c r="E2" s="19" t="n">
        <v>19.3</v>
      </c>
      <c r="F2" s="19" t="n">
        <v>1.4</v>
      </c>
      <c r="G2" s="19" t="inlineStr">
        <is>
          <t>7.3%</t>
        </is>
      </c>
      <c r="H2" s="19" t="n">
        <v>808.1</v>
      </c>
      <c r="I2" s="19" t="n">
        <v>185</v>
      </c>
      <c r="J2" s="19" t="n">
        <v>53</v>
      </c>
      <c r="K2" s="18" t="n">
        <v>2050</v>
      </c>
      <c r="L2" s="18" t="inlineStr">
        <is>
          <t>S-SHELL-AR24;
S-SHELL-Q4-2024</t>
        </is>
      </c>
      <c r="M2" s="18" t="inlineStr">
        <is>
          <t>D</t>
        </is>
      </c>
      <c r="N2" s="20" t="inlineStr">
        <is>
          <t>✓ REVENUE VERIFICADO: Shell 20-F 2024 = $284,312M ÷ 1.079 (avg EUR/USD 2024) = €263.5bn ✓. ✓ CAPEX: $21.1bn (Q4-2024 results) ÷ 1.094 = €19.3bn ✓. ✓ Low-carbon: R&amp;ES segment $1.66bn → €1.52bn; tab shows €1.4bn (slightly below, possible definitional scope). ✓ % math: 1.4/19.3 = 7.3% ✓. ⚠ EU refining 808.1 kbpd: Pernis(~404)+Rheinland(~328)=732 kbpd → 808 é ~10% acima. Verificar vs tab 02. ✗ H₂ 110 kt/y: INCONSISTENTE vs tab 03 (Pernis=110+Rheinland=75=185 kt/y). Factor ~1.7× abaixo. Metodologia tab 01 usa ~14 kt/100kbpd. Tab 03 usa valores site-by-site. ⚠ Green H₂ 53 kt/y: Holland Hydrogen 1=24.8 kt/y verificado (Shell CMD25) + outros. Plausível. ✓ Net-zero 2050: confirmado Shell CMD25.</t>
        </is>
      </c>
    </row>
    <row r="3" ht="168" customHeight="1" s="68">
      <c r="A3" s="17" t="inlineStr">
        <is>
          <t>TotalEnergies SE</t>
        </is>
      </c>
      <c r="B3" s="18" t="inlineStr">
        <is>
          <t>France</t>
        </is>
      </c>
      <c r="C3" s="18" t="inlineStr">
        <is>
          <t>2024</t>
        </is>
      </c>
      <c r="D3" s="19" t="n">
        <v>180.4</v>
      </c>
      <c r="E3" s="19" t="n">
        <v>16.2</v>
      </c>
      <c r="F3" s="19" t="n">
        <v>4.6</v>
      </c>
      <c r="G3" s="19" t="inlineStr">
        <is>
          <t>28.4%</t>
        </is>
      </c>
      <c r="H3" s="19" t="n">
        <v>597.4</v>
      </c>
      <c r="I3" s="19" t="n">
        <v>285</v>
      </c>
      <c r="J3" s="19" t="n">
        <v>45</v>
      </c>
      <c r="K3" s="18" t="n">
        <v>2050</v>
      </c>
      <c r="L3" s="18" t="inlineStr">
        <is>
          <t>S-TTE-FR24;
S-TTE-SC24;
S-IEA-HPDB25</t>
        </is>
      </c>
      <c r="M3" s="18" t="inlineStr">
        <is>
          <t>D</t>
        </is>
      </c>
      <c r="N3" s="20" t="inlineStr">
        <is>
          <t>⚠ PROBLEMA DE MOEDA NA RECEITA: StockAnalysis/SEC: TotalEnergies 2024 revenue = US$195.6bn. TotalEnergies reporta em USD desde 2022. EUR correcto = $195.6bn ÷ 1.084 = €180.4bn, NÃO €195.6bn. CompaniesMarketCap confirma €187.97bn. SUGERE CORRECÇÃO → €180-182bn (ou declarar explicitamente em USD). ✓ CAPEX €16.2bn: FR2024 net investments ~$17.5bn → €16.2bn a 1.08 ✓ (nota diz $17.5bn; tab08=€16.2bn). ✓ Low-carbon €4.6bn consistente com tab 08 ✓. ✓ % 28.4% = 4.6/16.2 ✓. ✗ H₂ 64 kt/y: INCONSISTENTE vs tab 03 sum: Donges=50+Gonfreville=75+Feyzin=25+Antwerp=85+Leuna=50=285 kt/y → factor 4.4× abaixo. CRÍTICO. ✓ Green H₂ 45 kt/y: Air Liquide Antwerp 15 kt + RWE Lingen 30 kt = 45 ✓ (tab 03 confirma). ✓ Net-zero 2050 ✓.  Notes: "Reporta em USD desde 2022; convertido a 1.084 avg 2024</t>
        </is>
      </c>
    </row>
    <row r="4" ht="180" customHeight="1" s="68">
      <c r="A4" s="17" t="inlineStr">
        <is>
          <t>BP plc</t>
        </is>
      </c>
      <c r="B4" s="18" t="inlineStr">
        <is>
          <t>United
Kingdom</t>
        </is>
      </c>
      <c r="C4" s="18" t="inlineStr">
        <is>
          <t>2024</t>
        </is>
      </c>
      <c r="D4" s="19" t="n">
        <v>175</v>
      </c>
      <c r="E4" s="19" t="n">
        <v>15.3</v>
      </c>
      <c r="F4" s="19" t="n">
        <v>2.6</v>
      </c>
      <c r="G4" s="19" t="inlineStr">
        <is>
          <t>17.0%</t>
        </is>
      </c>
      <c r="H4" s="19" t="n">
        <v>491</v>
      </c>
      <c r="I4" s="19" t="n">
        <v>215</v>
      </c>
      <c r="J4" s="19" t="n">
        <v>13</v>
      </c>
      <c r="K4" s="18" t="n">
        <v>2050</v>
      </c>
      <c r="L4" s="18" t="inlineStr">
        <is>
          <t>S-BP-AR24;
S-CHM2025;
S-IEA-HPDB25</t>
        </is>
      </c>
      <c r="M4" s="18" t="inlineStr">
        <is>
          <t>D</t>
        </is>
      </c>
      <c r="N4" s="20" t="inlineStr">
        <is>
          <t>✓ REVENUE PLAUSÍVEL: BP 2024 total revenues ~$189-193bn (USD) ÷ 1.08 = €175-179bn. €175bn ✓. ✓ CAPEX €15.3bn: BP AR2024 = $16.2bn ÷ 1.06 = €15.3bn ✓ (FX sensível). ✓ Low-carbon €2.6bn consistente com tab 08 ✓. ✓ % 17.0% = 2.6/15.3 ✓. ⚠ EU refining 491 kbpd: Rotterdam(180)+Gelsenkirchen(260)+Castellón(100)=540 kbpd → 491 é ~10% abaixo. Possível que BP usa capacidade efectiva vs nominal. ✗ H₂ 60 kt/y: INCONSISTENTE vs tab 03 (Rotterdam=115+Gelsenkirchen=80+Castellón=20=215 kt/y). Factor 3.6× abaixo. Mesmo problema metodológico de tab 01 vs tab 03. ⚠ Green H₂ 13 kt/y: bp Castellón fase 1 (25 MW=2.8 kt) + fase 2 comprometida ~10 kt = ~13 kt. Plausível para projectos COMPROMETIDOS. Excluí APS targets não confirmados. ⚠ bp anunciou estratégia Fev 2025: revisou expectativas de H₂ verde em baixa. ✓ Net-zero 2050 ✓.</t>
        </is>
      </c>
    </row>
    <row r="5" ht="168" customHeight="1" s="68">
      <c r="A5" s="17" t="inlineStr">
        <is>
          <t>Eni S.p.A.</t>
        </is>
      </c>
      <c r="B5" s="18" t="inlineStr">
        <is>
          <t>Italy</t>
        </is>
      </c>
      <c r="C5" s="18" t="inlineStr">
        <is>
          <t>2024</t>
        </is>
      </c>
      <c r="D5" s="19" t="n">
        <v>95</v>
      </c>
      <c r="E5" s="19" t="n">
        <v>9.300000000000001</v>
      </c>
      <c r="F5" s="19" t="n">
        <v>1.6</v>
      </c>
      <c r="G5" s="19" t="inlineStr">
        <is>
          <t>17.2%</t>
        </is>
      </c>
      <c r="H5" s="19" t="n">
        <v>552.95</v>
      </c>
      <c r="I5" s="19" t="n">
        <v>117</v>
      </c>
      <c r="J5" s="19" t="n">
        <v>19</v>
      </c>
      <c r="K5" s="18" t="n">
        <v>2050</v>
      </c>
      <c r="L5" s="18" t="inlineStr">
        <is>
          <t>S-ENI-AR24;
S-CHM2025;
S-IEA-HPDB25</t>
        </is>
      </c>
      <c r="M5" s="18" t="inlineStr">
        <is>
          <t>D</t>
        </is>
      </c>
      <c r="N5" s="20" t="inlineStr">
        <is>
          <t>✓ REVENUE: Eni reporta em EUR. Eni 2024 revenues ~€88-95bn (ENI AR2024). €95bn plausível ✓. ✓ CAPEX €9.3bn: Eni AR2024 organic capex ~€8.8-9.3bn ✓. ✓ Low-carbon €1.6bn consistente com tab 08 ✓. ✓ % 17.2% = 1.6/9.3 ✓. ⚠ EU refining 552.95 kbpd: Sannazzaro+Livorno+Taranto+Milazzo(JV 50%×220=110). Sannazzaro~200+Livorno~85+Taranto~80+Milazzo(50%)~110=475 kbpd. 552.95 &gt; estimativa → verificar tab 02. ✗ H₂ 75 kt/y: INCONSISTENTE vs tab 03 (Sannazzaro=45+Taranto=15+Milazzo★=57=117 kt/y). ★ Milazzo foi adicionado nesta sessão como linha em falta. 75 &lt; 117 → subestimado. ⚠ Green H₂ 19 kt/y: electrolisadores Livorno+Taranto+Venice+Gela biorefineries. Plausível para projectos Enilive comprometidos mas sem grande electrolyser dedicado. ✓ Net-zero 2050 ✓.</t>
        </is>
      </c>
    </row>
    <row r="6" ht="192" customHeight="1" s="68">
      <c r="A6" s="17" t="inlineStr">
        <is>
          <t>Repsol S.A.</t>
        </is>
      </c>
      <c r="B6" s="18" t="inlineStr">
        <is>
          <t>Spain</t>
        </is>
      </c>
      <c r="C6" s="18" t="inlineStr">
        <is>
          <t>2024</t>
        </is>
      </c>
      <c r="D6" s="19" t="n">
        <v>49</v>
      </c>
      <c r="E6" s="19" t="n">
        <v>4.9</v>
      </c>
      <c r="F6" s="19" t="n">
        <v>1.7</v>
      </c>
      <c r="G6" s="19" t="inlineStr">
        <is>
          <t>34.7%</t>
        </is>
      </c>
      <c r="H6" s="19" t="n">
        <v>706.9400000000001</v>
      </c>
      <c r="I6" s="19" t="n">
        <v>223</v>
      </c>
      <c r="J6" s="19" t="n">
        <v>84</v>
      </c>
      <c r="K6" s="18" t="n">
        <v>2050</v>
      </c>
      <c r="L6" s="18" t="inlineStr">
        <is>
          <t>S-REPSOL-AR24;
S-REPSOL-2427;
S-CHM2025;
S-IEA-HPDB25</t>
        </is>
      </c>
      <c r="M6" s="18" t="inlineStr">
        <is>
          <t>D</t>
        </is>
      </c>
      <c r="N6" s="20" t="inlineStr">
        <is>
          <t>✓ REVENUE: Repsol reporta em EUR. Net income 2024=€1.756bn (Repsol press release 2025). Total revenues ~€44-55bn. €49bn plausível ✓. ✓ CAPEX €4.9bn: Repsol AR2024 net investments €5.7bn (inclui capex+aquisições); orgânico ~€4.8-5.0bn ✓. ✓ Low-carbon €1.7bn consistente com tab 08 ✓. ✓ % 34.7% = 1.7/4.9 ✓. ⚠ EU refining 706.94 kbpd: Cartagena+Petronor+Puertollano+Tarragona+A Coruña. Soma típica ~800-880 kbpd nominal → 706.94 usa capacidades reais mais conservadoras. Verificar tab 02. ✗ H₂ 90 kt/y: INCONSISTENTE vs tab 03 sum (Cartagena=55+Petronor=55+Puertollano=38+Tarragona=45+A Coruña=30=223 kt/y). Factor 2.5× abaixo. ⚠ Green H₂ 84 kt/y: Repsol SP 2024-2027 anuncia 5 projectos de electrolyser (~300 MW total = ~38 kt/y comprometidos). 84 kt/y representa targets aspiracionais totais da strategic plan. Plausível como target máximo anunciado mas acima dos projectos com FID confirmado.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23" sqref="F23"/>
    </sheetView>
  </sheetViews>
  <sheetFormatPr baseColWidth="8" defaultColWidth="8.6640625" defaultRowHeight="14.4"/>
  <cols>
    <col width="16" customWidth="1" style="68" min="1" max="1"/>
    <col width="22" customWidth="1" style="68" min="2" max="2"/>
    <col width="12" customWidth="1" style="68" min="3" max="3"/>
    <col width="16" customWidth="1" style="68" min="4" max="4"/>
    <col width="11" customWidth="1" style="68" min="5" max="5"/>
    <col width="14" customWidth="1" style="68" min="6" max="6"/>
    <col width="12" customWidth="1" style="68" min="7" max="7"/>
    <col width="22" customWidth="1" style="68" min="8" max="8"/>
    <col width="16" customWidth="1" style="68" min="9" max="9"/>
    <col width="26" customWidth="1" style="68" min="10" max="10"/>
    <col width="12" customWidth="1" style="68" min="11" max="11"/>
    <col width="13" customWidth="1" style="68" min="12" max="12"/>
    <col width="30" customWidth="1" style="68" min="13" max="13"/>
  </cols>
  <sheetData>
    <row r="1" ht="49.5" customHeight="1" s="68">
      <c r="A1" s="11" t="inlineStr">
        <is>
          <t>Company</t>
        </is>
      </c>
      <c r="B1" s="11" t="inlineStr">
        <is>
          <t>Refinery</t>
        </is>
      </c>
      <c r="C1" s="11" t="inlineStr">
        <is>
          <t>Country</t>
        </is>
      </c>
      <c r="D1" s="11" t="inlineStr">
        <is>
          <t>Location (city)</t>
        </is>
      </c>
      <c r="E1" s="11" t="inlineStr">
        <is>
          <t>Ownership %</t>
        </is>
      </c>
      <c r="F1" s="11" t="inlineStr">
        <is>
          <t>Nameplate capacity (kbpd)</t>
        </is>
      </c>
      <c r="G1" s="11" t="inlineStr">
        <is>
          <t>Nelson complexity</t>
        </is>
      </c>
      <c r="H1" s="11" t="inlineStr">
        <is>
          <t>Main products</t>
        </is>
      </c>
      <c r="I1" s="11" t="inlineStr">
        <is>
          <t>Status (Operating / Idled / Converting / Closed)</t>
        </is>
      </c>
      <c r="J1" s="11" t="inlineStr">
        <is>
          <t>Conversion plan</t>
        </is>
      </c>
      <c r="K1" s="11" t="inlineStr">
        <is>
          <t>Source_ID</t>
        </is>
      </c>
      <c r="L1" s="11" t="inlineStr">
        <is>
          <t>Data_Quality</t>
        </is>
      </c>
      <c r="M1" s="11" t="inlineStr">
        <is>
          <t>Notes</t>
        </is>
      </c>
    </row>
    <row r="2" ht="66" customHeight="1" s="68">
      <c r="A2" s="12" t="inlineStr">
        <is>
          <t>Shell plc</t>
        </is>
      </c>
      <c r="B2" s="13" t="inlineStr">
        <is>
          <t>Pernis</t>
        </is>
      </c>
      <c r="C2" s="13" t="inlineStr">
        <is>
          <t>Netherlands</t>
        </is>
      </c>
      <c r="D2" s="13" t="inlineStr">
        <is>
          <t>Rotterdam</t>
        </is>
      </c>
      <c r="E2" s="14" t="n">
        <v>100</v>
      </c>
      <c r="F2" s="14" t="n">
        <v>404</v>
      </c>
      <c r="G2" s="14" t="n">
        <v>10.5</v>
      </c>
      <c r="H2" s="14" t="inlineStr">
        <is>
          <t>Petrol, diesel, kerosene, jet, chemicals</t>
        </is>
      </c>
      <c r="I2" s="14" t="inlineStr">
        <is>
          <t>Operating</t>
        </is>
      </c>
      <c r="J2" s="14" t="inlineStr">
        <is>
          <t>Transformed into Shell Energy &amp; Chemicals Park Rotterdam; replacing grey H2 with 200 MW Holland Hydrogen I (PEM)</t>
        </is>
      </c>
      <c r="K2" s="14" t="inlineStr">
        <is>
          <t>S-CONCAWE-2024; S-SHELL-AR24</t>
        </is>
      </c>
      <c r="L2" s="14" t="inlineStr">
        <is>
          <t>A</t>
        </is>
      </c>
      <c r="M2" s="14" t="inlineStr">
        <is>
          <t>Concawe lists 425 kbpd; Shell reports 404 kbpd. Largest refinery in Europe.</t>
        </is>
      </c>
    </row>
    <row r="3" ht="26.25" customHeight="1" s="68">
      <c r="A3" s="12" t="inlineStr">
        <is>
          <t>Shell plc</t>
        </is>
      </c>
      <c r="B3" s="13" t="inlineStr">
        <is>
          <t>Rheinland (Wesseling + Godorf)</t>
        </is>
      </c>
      <c r="C3" s="13" t="inlineStr">
        <is>
          <t>Germany</t>
        </is>
      </c>
      <c r="D3" s="13" t="inlineStr">
        <is>
          <t>Cologne</t>
        </is>
      </c>
      <c r="E3" s="14" t="n">
        <v>100</v>
      </c>
      <c r="F3" s="14" t="n">
        <v>342</v>
      </c>
      <c r="G3" s="14" t="n">
        <v>9.300000000000001</v>
      </c>
      <c r="H3" s="14" t="inlineStr">
        <is>
          <t>Petrol, diesel, kerosene, chemicals, base oils</t>
        </is>
      </c>
      <c r="I3" s="14" t="inlineStr">
        <is>
          <t>Operating</t>
        </is>
      </c>
      <c r="J3" s="14" t="inlineStr">
        <is>
          <t>Shell Energy &amp; Chemicals Park Rheinland; biofuels &amp; H2 deployment</t>
        </is>
      </c>
      <c r="K3" s="14" t="inlineStr">
        <is>
          <t>S-CONCAWE-2024; S-SHELL-AR24</t>
        </is>
      </c>
      <c r="L3" s="14" t="inlineStr">
        <is>
          <t>A</t>
        </is>
      </c>
      <c r="M3" s="14" t="inlineStr">
        <is>
          <t>Two sites: Wesseling + Godorf, combined 342 kbpd.</t>
        </is>
      </c>
    </row>
    <row r="4" ht="26.25" customHeight="1" s="68">
      <c r="A4" s="12" t="inlineStr">
        <is>
          <t>TotalEnergies SE</t>
        </is>
      </c>
      <c r="B4" s="13" t="inlineStr">
        <is>
          <t>Donges</t>
        </is>
      </c>
      <c r="C4" s="13" t="inlineStr">
        <is>
          <t>France</t>
        </is>
      </c>
      <c r="D4" s="13" t="inlineStr">
        <is>
          <t>Donges</t>
        </is>
      </c>
      <c r="E4" s="14" t="n">
        <v>100</v>
      </c>
      <c r="F4" s="14" t="n">
        <v>227</v>
      </c>
      <c r="G4" s="14" t="n"/>
      <c r="H4" s="14" t="inlineStr">
        <is>
          <t>Petrol, diesel, kerosene, bitumen</t>
        </is>
      </c>
      <c r="I4" s="14" t="inlineStr">
        <is>
          <t>Operating</t>
        </is>
      </c>
      <c r="J4" s="14" t="inlineStr">
        <is>
          <t>TotalEnergies plans to keep Donges as conventional refinery (not biorefinery)</t>
        </is>
      </c>
      <c r="K4" s="14" t="inlineStr">
        <is>
          <t>S-CONCAWE-2024; S-TTE-FR24</t>
        </is>
      </c>
      <c r="L4" s="14" t="inlineStr">
        <is>
          <t>A</t>
        </is>
      </c>
      <c r="M4" s="14" t="inlineStr">
        <is>
          <t>Concawe 227.3 kbpd.</t>
        </is>
      </c>
    </row>
    <row r="5" ht="26.25" customHeight="1" s="68">
      <c r="A5" s="12" t="inlineStr">
        <is>
          <t>TotalEnergies SE</t>
        </is>
      </c>
      <c r="B5" s="13" t="inlineStr">
        <is>
          <t>Gonfreville</t>
        </is>
      </c>
      <c r="C5" s="13" t="inlineStr">
        <is>
          <t>France</t>
        </is>
      </c>
      <c r="D5" s="13" t="inlineStr">
        <is>
          <t>Le Havre</t>
        </is>
      </c>
      <c r="E5" s="14" t="n">
        <v>100</v>
      </c>
      <c r="F5" s="14" t="n">
        <v>262</v>
      </c>
      <c r="G5" s="14" t="n"/>
      <c r="H5" s="14" t="inlineStr">
        <is>
          <t>Petrol, diesel, kerosene, lubricants, chemicals</t>
        </is>
      </c>
      <c r="I5" s="14" t="inlineStr">
        <is>
          <t>Operating</t>
        </is>
      </c>
      <c r="J5" s="14" t="inlineStr">
        <is>
          <t>Normandy hydrogen tolling agreement with Air Liquide; 200 MW electrolyser 2026</t>
        </is>
      </c>
      <c r="K5" s="14" t="inlineStr">
        <is>
          <t>S-CONCAWE-2024; S-TTE-SC24</t>
        </is>
      </c>
      <c r="L5" s="14" t="inlineStr">
        <is>
          <t>A</t>
        </is>
      </c>
      <c r="M5" s="14" t="inlineStr">
        <is>
          <t>Concawe 262 kbpd; largest TotalEnergies refinery in France.</t>
        </is>
      </c>
    </row>
    <row r="6" ht="26.25" customHeight="1" s="68">
      <c r="A6" s="12" t="inlineStr">
        <is>
          <t>TotalEnergies SE</t>
        </is>
      </c>
      <c r="B6" s="13" t="inlineStr">
        <is>
          <t>Feyzin</t>
        </is>
      </c>
      <c r="C6" s="13" t="inlineStr">
        <is>
          <t>France</t>
        </is>
      </c>
      <c r="D6" s="13" t="inlineStr">
        <is>
          <t>Lyon</t>
        </is>
      </c>
      <c r="E6" s="14" t="n">
        <v>100</v>
      </c>
      <c r="F6" s="14" t="n">
        <v>113</v>
      </c>
      <c r="G6" s="14" t="n"/>
      <c r="H6" s="14" t="inlineStr">
        <is>
          <t>Petrol, diesel, kerosene</t>
        </is>
      </c>
      <c r="I6" s="14" t="inlineStr">
        <is>
          <t>Operating</t>
        </is>
      </c>
      <c r="J6" s="14" t="inlineStr">
        <is>
          <t>Continued operations; biofuel co-processing pilots</t>
        </is>
      </c>
      <c r="K6" s="14" t="inlineStr">
        <is>
          <t>S-CONCAWE-2024</t>
        </is>
      </c>
      <c r="L6" s="14" t="inlineStr">
        <is>
          <t>A</t>
        </is>
      </c>
      <c r="M6" s="14" t="inlineStr">
        <is>
          <t>Concawe 113.4 kbpd.</t>
        </is>
      </c>
    </row>
    <row r="7" ht="26.25" customHeight="1" s="68">
      <c r="A7" s="12" t="inlineStr">
        <is>
          <t>TotalEnergies SE</t>
        </is>
      </c>
      <c r="B7" s="13" t="inlineStr">
        <is>
          <t>La Mède (biorefinery)</t>
        </is>
      </c>
      <c r="C7" s="13" t="inlineStr">
        <is>
          <t>France</t>
        </is>
      </c>
      <c r="D7" s="13" t="inlineStr">
        <is>
          <t>Châteauneuf-les-Martigues</t>
        </is>
      </c>
      <c r="E7" s="14" t="n">
        <v>100</v>
      </c>
      <c r="F7" s="14" t="n"/>
      <c r="G7" s="14" t="n"/>
      <c r="H7" s="14" t="inlineStr">
        <is>
          <t>HVO biodiesel; SAF planned</t>
        </is>
      </c>
      <c r="I7" s="14" t="inlineStr">
        <is>
          <t>Operating (biorefinery)</t>
        </is>
      </c>
      <c r="J7" s="14" t="inlineStr">
        <is>
          <t>Converted from conventional refinery in 2019; HVO production</t>
        </is>
      </c>
      <c r="K7" s="14" t="inlineStr">
        <is>
          <t>S-CONCAWE-2024; S-TTE-FR24</t>
        </is>
      </c>
      <c r="L7" s="14" t="inlineStr">
        <is>
          <t>A</t>
        </is>
      </c>
      <c r="M7" s="14" t="inlineStr">
        <is>
          <t>Concawe lists 500 kt/y biofuel capacity; original conventional capacity converted.</t>
        </is>
      </c>
    </row>
    <row r="8" ht="26.25" customHeight="1" s="68">
      <c r="A8" s="12" t="inlineStr">
        <is>
          <t>TotalEnergies SE</t>
        </is>
      </c>
      <c r="B8" s="13" t="inlineStr">
        <is>
          <t>Grandpuits (biorefinery, converted)</t>
        </is>
      </c>
      <c r="C8" s="13" t="inlineStr">
        <is>
          <t>France</t>
        </is>
      </c>
      <c r="D8" s="13" t="inlineStr">
        <is>
          <t>Grandpuits</t>
        </is>
      </c>
      <c r="E8" s="14" t="n">
        <v>100</v>
      </c>
      <c r="F8" s="14" t="n"/>
      <c r="G8" s="14" t="n"/>
      <c r="H8" s="14" t="inlineStr">
        <is>
          <t>HVO biodiesel; SAF; bioplastics</t>
        </is>
      </c>
      <c r="I8" s="14" t="inlineStr">
        <is>
          <t>Operating (biorefinery, converted)</t>
        </is>
      </c>
      <c r="J8" s="14" t="inlineStr">
        <is>
          <t>Conventional refining stopped 2021; biorefinery start-up 2025</t>
        </is>
      </c>
      <c r="K8" s="14" t="inlineStr">
        <is>
          <t>S-CONCAWE-2024; S-TTE-SC24</t>
        </is>
      </c>
      <c r="L8" s="14" t="inlineStr">
        <is>
          <t>A</t>
        </is>
      </c>
      <c r="M8" s="14" t="inlineStr">
        <is>
          <t>TotalEnergies/Air Liquide Masshylia-style H2 supply foreseen.</t>
        </is>
      </c>
    </row>
    <row r="9" ht="26.25" customHeight="1" s="68">
      <c r="A9" s="12" t="inlineStr">
        <is>
          <t>TotalEnergies SE</t>
        </is>
      </c>
      <c r="B9" s="13" t="inlineStr">
        <is>
          <t>Antwerp</t>
        </is>
      </c>
      <c r="C9" s="13" t="inlineStr">
        <is>
          <t>Belgium</t>
        </is>
      </c>
      <c r="D9" s="13" t="inlineStr">
        <is>
          <t>Antwerp</t>
        </is>
      </c>
      <c r="E9" s="14" t="n">
        <v>100</v>
      </c>
      <c r="F9" s="14" t="n">
        <v>350</v>
      </c>
      <c r="G9" s="14" t="n"/>
      <c r="H9" s="14" t="inlineStr">
        <is>
          <t>Petrol, diesel, kerosene, jet, chemicals, lubes</t>
        </is>
      </c>
      <c r="I9" s="14" t="inlineStr">
        <is>
          <t>Operating</t>
        </is>
      </c>
      <c r="J9" s="14" t="inlineStr">
        <is>
          <t>200 MW Air Liquide electrolyser + tolling for 15 kt/y green H2 by end-2027; older steam cracker to be shut by end-2027</t>
        </is>
      </c>
      <c r="K9" s="14" t="inlineStr">
        <is>
          <t>S-CONCAWE-2024; S-TTE-FR24</t>
        </is>
      </c>
      <c r="L9" s="14" t="inlineStr">
        <is>
          <t>A</t>
        </is>
      </c>
      <c r="M9" s="14" t="inlineStr">
        <is>
          <t>Concawe 350.4 kbpd; most efficient TotalEnergies platform in Europe.</t>
        </is>
      </c>
    </row>
    <row r="10" ht="26.25" customHeight="1" s="68">
      <c r="A10" s="12" t="inlineStr">
        <is>
          <t>TotalEnergies SE</t>
        </is>
      </c>
      <c r="B10" s="13" t="inlineStr">
        <is>
          <t>Leuna</t>
        </is>
      </c>
      <c r="C10" s="13" t="inlineStr">
        <is>
          <t>Germany</t>
        </is>
      </c>
      <c r="D10" s="13" t="inlineStr">
        <is>
          <t>Leuna</t>
        </is>
      </c>
      <c r="E10" s="14" t="n">
        <v>100</v>
      </c>
      <c r="F10" s="14" t="n">
        <v>236</v>
      </c>
      <c r="G10" s="14" t="n"/>
      <c r="H10" s="14" t="inlineStr">
        <is>
          <t>Petrol, diesel, kerosene, chemicals</t>
        </is>
      </c>
      <c r="I10" s="14" t="inlineStr">
        <is>
          <t>Operating</t>
        </is>
      </c>
      <c r="J10" s="14" t="inlineStr">
        <is>
          <t>RWE 300 MW Lingen electrolyser to supply 30 kt/y green H2 from 2030; VNG/Uniper 30 MW Bad Lauchstädt</t>
        </is>
      </c>
      <c r="K10" s="14" t="inlineStr">
        <is>
          <t>S-CONCAWE-2024; S-TTE-SC24</t>
        </is>
      </c>
      <c r="L10" s="14" t="inlineStr">
        <is>
          <t>A</t>
        </is>
      </c>
      <c r="M10" s="14" t="inlineStr">
        <is>
          <t>Concawe 236 kbpd. Largest green H2 contract in Germany announced March 2025.</t>
        </is>
      </c>
    </row>
    <row r="11" ht="52.8" customHeight="1" s="68">
      <c r="A11" s="12" t="inlineStr">
        <is>
          <t>BP plc</t>
        </is>
      </c>
      <c r="B11" s="13" t="inlineStr">
        <is>
          <t>Rotterdam</t>
        </is>
      </c>
      <c r="C11" s="13" t="inlineStr">
        <is>
          <t>Netherlands</t>
        </is>
      </c>
      <c r="D11" s="13" t="inlineStr">
        <is>
          <t>Rotterdam</t>
        </is>
      </c>
      <c r="E11" s="14" t="n">
        <v>100</v>
      </c>
      <c r="F11" s="14" t="n">
        <v>394</v>
      </c>
      <c r="G11" s="14" t="n"/>
      <c r="H11" s="14" t="inlineStr">
        <is>
          <t>Petrol, diesel, kerosene, jet</t>
        </is>
      </c>
      <c r="I11" s="14" t="inlineStr">
        <is>
          <t>Operating</t>
        </is>
      </c>
      <c r="J11" s="14" t="inlineStr">
        <is>
          <t>Decarbonisation via electrification, green H2 imports planned (Rotterdam hub)</t>
        </is>
      </c>
      <c r="K11" s="14" t="inlineStr">
        <is>
          <t>S-CONCAWE-2024; S-BP-AR24</t>
        </is>
      </c>
      <c r="L11" s="14" t="inlineStr">
        <is>
          <t>A</t>
        </is>
      </c>
      <c r="M11" s="14" t="inlineStr">
        <is>
          <t>Concawe 394 kbpd. NRC = bp Nederland Raffinaderij Rotterdam.</t>
        </is>
      </c>
    </row>
    <row r="12" ht="39.6" customHeight="1" s="68">
      <c r="A12" s="12" t="inlineStr">
        <is>
          <t>BP plc</t>
        </is>
      </c>
      <c r="B12" s="13" t="inlineStr">
        <is>
          <t>Gelsenkirchen</t>
        </is>
      </c>
      <c r="C12" s="13" t="inlineStr">
        <is>
          <t>Germany</t>
        </is>
      </c>
      <c r="D12" s="13" t="inlineStr">
        <is>
          <t>Gelsenkirchen</t>
        </is>
      </c>
      <c r="E12" s="14" t="n">
        <v>100</v>
      </c>
      <c r="F12" s="14" t="n">
        <v>265</v>
      </c>
      <c r="G12" s="14" t="n"/>
      <c r="H12" s="14" t="inlineStr">
        <is>
          <t>Petrol, diesel, lubes, chemicals</t>
        </is>
      </c>
      <c r="I12" s="14" t="inlineStr">
        <is>
          <t>Operating</t>
        </is>
      </c>
      <c r="J12" s="14" t="inlineStr">
        <is>
          <t>Site H2 sourcing under review; bp limiting new EU refining capex</t>
        </is>
      </c>
      <c r="K12" s="14" t="inlineStr">
        <is>
          <t>S-CONCAWE-2024</t>
        </is>
      </c>
      <c r="L12" s="14" t="inlineStr">
        <is>
          <t>A</t>
        </is>
      </c>
      <c r="M12" s="14" t="inlineStr">
        <is>
          <t>Concawe 265 kbpd.</t>
        </is>
      </c>
    </row>
    <row r="13" ht="66" customHeight="1" s="68">
      <c r="A13" s="12" t="inlineStr">
        <is>
          <t>BP plc</t>
        </is>
      </c>
      <c r="B13" s="13" t="inlineStr">
        <is>
          <t>Castellón</t>
        </is>
      </c>
      <c r="C13" s="13" t="inlineStr">
        <is>
          <t>Spain</t>
        </is>
      </c>
      <c r="D13" s="13" t="inlineStr">
        <is>
          <t>Castellón</t>
        </is>
      </c>
      <c r="E13" s="14" t="n">
        <v>100</v>
      </c>
      <c r="F13" s="14" t="n">
        <v>110</v>
      </c>
      <c r="G13" s="14" t="n"/>
      <c r="H13" s="14" t="inlineStr">
        <is>
          <t>Petrol, diesel, jet, kerosene</t>
        </is>
      </c>
      <c r="I13" s="14" t="inlineStr">
        <is>
          <t>Operating</t>
        </is>
      </c>
      <c r="J13" s="14" t="inlineStr">
        <is>
          <t>HyVal cluster: 25 MW PEM electrolyser (FID Jul 2024, COD 2H 2026); 200 MW phase-2 (2027); ambition 2 GW by 2030</t>
        </is>
      </c>
      <c r="K13" s="14" t="inlineStr">
        <is>
          <t>S-CONCAWE-2024; S-BP-AR24; S-IEA-HPDB25</t>
        </is>
      </c>
      <c r="L13" s="14" t="inlineStr">
        <is>
          <t>A</t>
        </is>
      </c>
      <c r="M13" s="14" t="inlineStr">
        <is>
          <t>Concawe 110 kbpd.</t>
        </is>
      </c>
    </row>
    <row r="14" ht="26.25" customHeight="1" s="68">
      <c r="A14" s="12" t="inlineStr">
        <is>
          <t>Eni S.p.A.</t>
        </is>
      </c>
      <c r="B14" s="13" t="inlineStr">
        <is>
          <t>Sannazzaro</t>
        </is>
      </c>
      <c r="C14" s="13" t="inlineStr">
        <is>
          <t>Italy</t>
        </is>
      </c>
      <c r="D14" s="13" t="inlineStr">
        <is>
          <t>Sannazzaro de' Burgondi</t>
        </is>
      </c>
      <c r="E14" s="14" t="n">
        <v>100</v>
      </c>
      <c r="F14" s="14" t="n">
        <v>210</v>
      </c>
      <c r="G14" s="14" t="n"/>
      <c r="H14" s="14" t="inlineStr">
        <is>
          <t>Petrol, diesel, lubes, chemicals</t>
        </is>
      </c>
      <c r="I14" s="14" t="inlineStr">
        <is>
          <t>Operating</t>
        </is>
      </c>
      <c r="J14" s="14" t="inlineStr">
        <is>
          <t>Waste-to-MeOH/H2 plant (10.4 MWel, FEED); electrification + bio-feedstock co-processing</t>
        </is>
      </c>
      <c r="K14" s="14" t="inlineStr">
        <is>
          <t>S-CONCAWE-2024; S-ENI-AR24</t>
        </is>
      </c>
      <c r="L14" s="14" t="inlineStr">
        <is>
          <t>A</t>
        </is>
      </c>
      <c r="M14" s="14" t="inlineStr">
        <is>
          <t>Concawe 210 kbpd.</t>
        </is>
      </c>
    </row>
    <row r="15" ht="52.8" customHeight="1" s="68">
      <c r="A15" s="12" t="inlineStr">
        <is>
          <t>Eni S.p.A.</t>
        </is>
      </c>
      <c r="B15" s="13" t="inlineStr">
        <is>
          <t>Livorno</t>
        </is>
      </c>
      <c r="C15" s="13" t="inlineStr">
        <is>
          <t>Italy</t>
        </is>
      </c>
      <c r="D15" s="13" t="inlineStr">
        <is>
          <t>Livorno</t>
        </is>
      </c>
      <c r="E15" s="14" t="n">
        <v>100</v>
      </c>
      <c r="F15" s="14" t="n"/>
      <c r="G15" s="14" t="n"/>
      <c r="H15" s="14" t="inlineStr">
        <is>
          <t>HVO biofuels (conversion underway)</t>
        </is>
      </c>
      <c r="I15" s="14" t="inlineStr">
        <is>
          <t>Converting</t>
        </is>
      </c>
      <c r="J15" s="14" t="inlineStr">
        <is>
          <t>Conversion to HVO biorefinery announced 2024; start-up 2026</t>
        </is>
      </c>
      <c r="K15" s="14" t="inlineStr">
        <is>
          <t>S-CONCAWE-2024; S-ENI-AR24</t>
        </is>
      </c>
      <c r="L15" s="14" t="inlineStr">
        <is>
          <t>A</t>
        </is>
      </c>
      <c r="M15" s="14" t="inlineStr">
        <is>
          <t>Concawe lists Livorno as Closed pending conversion to bio-refinery.</t>
        </is>
      </c>
    </row>
    <row r="16" ht="52.8" customHeight="1" s="68">
      <c r="A16" s="12" t="inlineStr">
        <is>
          <t>Eni S.p.A.</t>
        </is>
      </c>
      <c r="B16" s="13" t="inlineStr">
        <is>
          <t>Taranto</t>
        </is>
      </c>
      <c r="C16" s="13" t="inlineStr">
        <is>
          <t>Italy</t>
        </is>
      </c>
      <c r="D16" s="13" t="inlineStr">
        <is>
          <t>Taranto</t>
        </is>
      </c>
      <c r="E16" s="14" t="n">
        <v>100</v>
      </c>
      <c r="F16" s="14" t="n">
        <v>88</v>
      </c>
      <c r="G16" s="14" t="n"/>
      <c r="H16" s="14" t="inlineStr">
        <is>
          <t>Petrol, diesel, fuel oil</t>
        </is>
      </c>
      <c r="I16" s="14" t="inlineStr">
        <is>
          <t>Operating</t>
        </is>
      </c>
      <c r="J16" s="14" t="inlineStr">
        <is>
          <t>Local hydrogen optimisation; bio-feedstock co-processing pilots</t>
        </is>
      </c>
      <c r="K16" s="14" t="inlineStr">
        <is>
          <t>S-CONCAWE-2024; S-ENI-AR24</t>
        </is>
      </c>
      <c r="L16" s="14" t="inlineStr">
        <is>
          <t>A</t>
        </is>
      </c>
      <c r="M16" s="14" t="inlineStr">
        <is>
          <t>Concawe 88.42 kbpd.</t>
        </is>
      </c>
    </row>
    <row r="17" ht="26.25" customHeight="1" s="68">
      <c r="A17" s="12" t="inlineStr">
        <is>
          <t>Eni S.p.A.</t>
        </is>
      </c>
      <c r="B17" s="13" t="inlineStr">
        <is>
          <t>Venice (biorefinery, converted)</t>
        </is>
      </c>
      <c r="C17" s="13" t="inlineStr">
        <is>
          <t>Italy</t>
        </is>
      </c>
      <c r="D17" s="13" t="inlineStr">
        <is>
          <t>Porto Marghera</t>
        </is>
      </c>
      <c r="E17" s="14" t="n">
        <v>100</v>
      </c>
      <c r="F17" s="14" t="n"/>
      <c r="G17" s="14" t="n"/>
      <c r="H17" s="14" t="inlineStr">
        <is>
          <t>HVO biofuels, SAF (co-processing)</t>
        </is>
      </c>
      <c r="I17" s="14" t="inlineStr">
        <is>
          <t>Operating (biorefinery, converted)</t>
        </is>
      </c>
      <c r="J17" s="14" t="inlineStr">
        <is>
          <t>Original refinery converted 2014; expanding HVO/SAF capacity</t>
        </is>
      </c>
      <c r="K17" s="14" t="inlineStr">
        <is>
          <t>S-CONCAWE-2024; S-ENI-AR24</t>
        </is>
      </c>
      <c r="L17" s="14" t="inlineStr">
        <is>
          <t>A</t>
        </is>
      </c>
      <c r="M17" s="14" t="inlineStr">
        <is>
          <t>Concawe lists 1.1 Mt/y HVO capacity.</t>
        </is>
      </c>
    </row>
    <row r="18" ht="26.25" customHeight="1" s="68">
      <c r="A18" s="12" t="inlineStr">
        <is>
          <t>Eni S.p.A.</t>
        </is>
      </c>
      <c r="B18" s="13" t="inlineStr">
        <is>
          <t>Gela (biorefinery, converted)</t>
        </is>
      </c>
      <c r="C18" s="13" t="inlineStr">
        <is>
          <t>Italy</t>
        </is>
      </c>
      <c r="D18" s="13" t="inlineStr">
        <is>
          <t>Gela</t>
        </is>
      </c>
      <c r="E18" s="14" t="n">
        <v>100</v>
      </c>
      <c r="F18" s="14" t="n"/>
      <c r="G18" s="14" t="n"/>
      <c r="H18" s="14" t="inlineStr">
        <is>
          <t>HVO biofuels, SAF</t>
        </is>
      </c>
      <c r="I18" s="14" t="inlineStr">
        <is>
          <t>Operating (biorefinery, converted)</t>
        </is>
      </c>
      <c r="J18" s="14" t="inlineStr">
        <is>
          <t>Original refinery converted 2019; capacity expansion in progress</t>
        </is>
      </c>
      <c r="K18" s="14" t="inlineStr">
        <is>
          <t>S-CONCAWE-2024; S-ENI-AR24</t>
        </is>
      </c>
      <c r="L18" s="14" t="inlineStr">
        <is>
          <t>A</t>
        </is>
      </c>
      <c r="M18" s="14" t="inlineStr">
        <is>
          <t>Capacity not in Concawe spreadsheet (n/a).</t>
        </is>
      </c>
    </row>
    <row r="19" ht="79.2" customHeight="1" s="68">
      <c r="A19" s="12" t="inlineStr">
        <is>
          <t>Repsol S.A.</t>
        </is>
      </c>
      <c r="B19" s="13" t="inlineStr">
        <is>
          <t>Cartagena</t>
        </is>
      </c>
      <c r="C19" s="13" t="inlineStr">
        <is>
          <t>Spain</t>
        </is>
      </c>
      <c r="D19" s="13" t="inlineStr">
        <is>
          <t>Cartagena</t>
        </is>
      </c>
      <c r="E19" s="14" t="n">
        <v>100</v>
      </c>
      <c r="F19" s="14" t="n">
        <v>232</v>
      </c>
      <c r="G19" s="14" t="n"/>
      <c r="H19" s="14" t="inlineStr">
        <is>
          <t>Petrol, diesel, kerosene, fuels &amp; lubes</t>
        </is>
      </c>
      <c r="I19" s="14" t="inlineStr">
        <is>
          <t>Operating</t>
        </is>
      </c>
      <c r="J19" s="14" t="inlineStr">
        <is>
          <t>100 MW renewable H2 electrolyser approved Sep 2025; €292m budget; COD 2029; advanced biofuels plant operational 2024</t>
        </is>
      </c>
      <c r="K19" s="14" t="inlineStr">
        <is>
          <t>S-CONCAWE-2024; S-REPSOL-AR24; S-IEA-HPDB25</t>
        </is>
      </c>
      <c r="L19" s="14" t="inlineStr">
        <is>
          <t>A</t>
        </is>
      </c>
      <c r="M19" s="14" t="inlineStr">
        <is>
          <t>Concawe 231.58 kbpd.</t>
        </is>
      </c>
    </row>
    <row r="20" ht="79.2" customHeight="1" s="68">
      <c r="A20" s="12" t="inlineStr">
        <is>
          <t>Repsol S.A.</t>
        </is>
      </c>
      <c r="B20" s="13" t="inlineStr">
        <is>
          <t>Petronor (Bilbao)</t>
        </is>
      </c>
      <c r="C20" s="13" t="inlineStr">
        <is>
          <t>Spain</t>
        </is>
      </c>
      <c r="D20" s="13" t="inlineStr">
        <is>
          <t>Muskiz</t>
        </is>
      </c>
      <c r="E20" s="14" t="n">
        <v>85</v>
      </c>
      <c r="F20" s="14" t="n">
        <v>232</v>
      </c>
      <c r="G20" s="14" t="n"/>
      <c r="H20" s="14" t="inlineStr">
        <is>
          <t>Petrol, diesel, jet, kerosene</t>
        </is>
      </c>
      <c r="I20" s="14" t="inlineStr">
        <is>
          <t>Operating</t>
        </is>
      </c>
      <c r="J20" s="14" t="inlineStr">
        <is>
          <t>2.5 MW PEM op since 2023 (350 t/y); 10 MW UC with Aramco for e-fuels (COD 2026); 100 MW FID for 2029 (15 kt/y; €292m; €160m NextGenEU)</t>
        </is>
      </c>
      <c r="K20" s="14" t="inlineStr">
        <is>
          <t>S-CONCAWE-2024; S-REPSOL-AR24; S-IEA-HPDB25</t>
        </is>
      </c>
      <c r="L20" s="14" t="inlineStr">
        <is>
          <t>A</t>
        </is>
      </c>
      <c r="M20" s="14" t="inlineStr">
        <is>
          <t>Repsol holds 85% in Petronor; Concawe 232 kbpd.</t>
        </is>
      </c>
    </row>
    <row r="21" ht="79.2" customHeight="1" s="68">
      <c r="A21" s="12" t="inlineStr">
        <is>
          <t>Repsol S.A.</t>
        </is>
      </c>
      <c r="B21" s="13" t="inlineStr">
        <is>
          <t>Puertollano</t>
        </is>
      </c>
      <c r="C21" s="13" t="inlineStr">
        <is>
          <t>Spain</t>
        </is>
      </c>
      <c r="D21" s="13" t="inlineStr">
        <is>
          <t>Puertollano</t>
        </is>
      </c>
      <c r="E21" s="14" t="n">
        <v>100</v>
      </c>
      <c r="F21" s="14" t="n">
        <v>158</v>
      </c>
      <c r="G21" s="14" t="n"/>
      <c r="H21" s="14" t="inlineStr">
        <is>
          <t>Petrol, diesel, chemicals</t>
        </is>
      </c>
      <c r="I21" s="14" t="inlineStr">
        <is>
          <t>Operating</t>
        </is>
      </c>
      <c r="J21" s="14" t="inlineStr">
        <is>
          <t>Biohydrogen plant under construction (FID 2024); largest in Europe at start-up; integrated photovoltaic-plus-electrolysis pilot</t>
        </is>
      </c>
      <c r="K21" s="14" t="inlineStr">
        <is>
          <t>S-CONCAWE-2024; S-REPSOL-AR24; S-IEA-HPDB25</t>
        </is>
      </c>
      <c r="L21" s="14" t="inlineStr">
        <is>
          <t>A</t>
        </is>
      </c>
      <c r="M21" s="14" t="inlineStr">
        <is>
          <t>Concawe 157.89 kbpd.</t>
        </is>
      </c>
    </row>
    <row r="22" ht="66" customHeight="1" s="68">
      <c r="A22" s="12" t="inlineStr">
        <is>
          <t>Repsol S.A.</t>
        </is>
      </c>
      <c r="B22" s="13" t="inlineStr">
        <is>
          <t>Tarragona</t>
        </is>
      </c>
      <c r="C22" s="13" t="inlineStr">
        <is>
          <t>Spain</t>
        </is>
      </c>
      <c r="D22" s="13" t="inlineStr">
        <is>
          <t>Tarragona</t>
        </is>
      </c>
      <c r="E22" s="14" t="n">
        <v>100</v>
      </c>
      <c r="F22" s="14" t="n">
        <v>189</v>
      </c>
      <c r="G22" s="14" t="n"/>
      <c r="H22" s="14" t="inlineStr">
        <is>
          <t>Petrol, diesel, chemicals, lubes</t>
        </is>
      </c>
      <c r="I22" s="14" t="inlineStr">
        <is>
          <t>Operating</t>
        </is>
      </c>
      <c r="J22" s="14" t="inlineStr">
        <is>
          <t>150 MW renewable H2 electrolyser planned (EU Innovation Fund 2024 winner)</t>
        </is>
      </c>
      <c r="K22" s="14" t="inlineStr">
        <is>
          <t>S-CONCAWE-2024; S-REPSOL-AR24</t>
        </is>
      </c>
      <c r="L22" s="14" t="inlineStr">
        <is>
          <t>A</t>
        </is>
      </c>
      <c r="M22" s="14" t="inlineStr">
        <is>
          <t>Concawe 189.47 kbpd.</t>
        </is>
      </c>
    </row>
    <row r="23" ht="66" customHeight="1" s="68">
      <c r="A23" s="12" t="inlineStr">
        <is>
          <t>Repsol S.A.</t>
        </is>
      </c>
      <c r="B23" s="13" t="inlineStr">
        <is>
          <t>A Coruña</t>
        </is>
      </c>
      <c r="C23" s="13" t="inlineStr">
        <is>
          <t>Spain</t>
        </is>
      </c>
      <c r="D23" s="13" t="inlineStr">
        <is>
          <t>A Coruña</t>
        </is>
      </c>
      <c r="E23" s="14" t="n">
        <v>100</v>
      </c>
      <c r="F23" s="14" t="n">
        <v>126</v>
      </c>
      <c r="G23" s="14" t="n"/>
      <c r="H23" s="14" t="inlineStr">
        <is>
          <t>Petrol, diesel, kerosene</t>
        </is>
      </c>
      <c r="I23" s="14" t="inlineStr">
        <is>
          <t>Operating</t>
        </is>
      </c>
      <c r="J23" s="14" t="inlineStr">
        <is>
          <t>Site-specific PtX studies; renewable H2 expected post-2030</t>
        </is>
      </c>
      <c r="K23" s="14" t="inlineStr">
        <is>
          <t>S-CONCAWE-2024; S-REPSOL-AR24</t>
        </is>
      </c>
      <c r="L23" s="14" t="inlineStr">
        <is>
          <t>A</t>
        </is>
      </c>
      <c r="M23" s="14" t="inlineStr">
        <is>
          <t>Concawe 126 kbpd.</t>
        </is>
      </c>
    </row>
    <row r="26">
      <c r="A26" s="66" t="inlineStr">
        <is>
          <t>Note: Pre-populated refinery list is indicative — verify ownership, status, and capacity against latest company disclosures and Concawe Refining Statistics. Add/remove rows as needed.</t>
        </is>
      </c>
    </row>
  </sheetData>
  <mergeCells count="1">
    <mergeCell ref="A26:M26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"/>
  <sheetViews>
    <sheetView zoomScaleNormal="100" workbookViewId="0">
      <pane xSplit="2" ySplit="1" topLeftCell="C25" activePane="bottomRight" state="frozen"/>
      <selection pane="topRight" activeCell="C1" sqref="C1"/>
      <selection pane="bottomLeft" activeCell="A2" sqref="A2"/>
      <selection pane="bottomRight" activeCell="M20" sqref="M20"/>
    </sheetView>
  </sheetViews>
  <sheetFormatPr baseColWidth="8" defaultColWidth="8.6640625" defaultRowHeight="14.4"/>
  <cols>
    <col width="16" customWidth="1" style="68" min="1" max="1"/>
    <col width="22" customWidth="1" style="68" min="2" max="2"/>
    <col width="14" customWidth="1" style="68" min="3" max="3"/>
    <col width="16" customWidth="1" style="68" min="4" max="4"/>
    <col width="14" customWidth="1" style="68" min="5" max="6"/>
    <col width="16" customWidth="1" style="68" min="7" max="7"/>
    <col width="12" customWidth="1" style="68" min="8" max="9"/>
    <col width="13" customWidth="1" style="68" min="10" max="10"/>
    <col width="30" customWidth="1" style="68" min="11" max="11"/>
  </cols>
  <sheetData>
    <row r="1" ht="49.5" customHeight="1" s="68">
      <c r="A1" s="21" t="inlineStr">
        <is>
          <t>Company</t>
        </is>
      </c>
      <c r="B1" s="21" t="inlineStr">
        <is>
          <t>Refinery</t>
        </is>
      </c>
      <c r="C1" s="21" t="inlineStr">
        <is>
          <t>Captive SMR
H₂ (kt/y)</t>
        </is>
      </c>
      <c r="D1" s="21" t="inlineStr">
        <is>
          <t>Merchant grey
H₂ purchased
(kt/y)</t>
        </is>
      </c>
      <c r="E1" s="21" t="inlineStr">
        <is>
          <t>Off-gas /
byproduct H₂
(kt/y)</t>
        </is>
      </c>
      <c r="F1" s="21" t="inlineStr">
        <is>
          <t>Total H₂
demand
(kt/y)</t>
        </is>
      </c>
      <c r="G1" s="21" t="inlineStr">
        <is>
          <t>Associated CO₂
emissions
(kt CO₂/y)</t>
        </is>
      </c>
      <c r="H1" s="21" t="inlineStr">
        <is>
          <t>Year (data
reference)</t>
        </is>
      </c>
      <c r="I1" s="21" t="inlineStr">
        <is>
          <t>Source_ID</t>
        </is>
      </c>
      <c r="J1" s="21" t="inlineStr">
        <is>
          <t>Data_
Quality</t>
        </is>
      </c>
      <c r="K1" s="21" t="inlineStr">
        <is>
          <t>Notes</t>
        </is>
      </c>
    </row>
    <row r="2">
      <c r="A2" s="22" t="inlineStr">
        <is>
          <t>SHELL PLC</t>
        </is>
      </c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</row>
    <row r="3" ht="26.25" customHeight="1" s="68">
      <c r="A3" s="24" t="inlineStr">
        <is>
          <t>Shell plc</t>
        </is>
      </c>
      <c r="B3" s="25" t="inlineStr">
        <is>
          <t>Pernis (Rotterdam), NL</t>
        </is>
      </c>
      <c r="C3" s="26" t="n">
        <v>95</v>
      </c>
      <c r="D3" s="26" t="n">
        <v>5</v>
      </c>
      <c r="E3" s="26" t="n">
        <v>10</v>
      </c>
      <c r="F3" s="26" t="n">
        <v>110</v>
      </c>
      <c r="G3" s="27" t="n">
        <v>855</v>
      </c>
      <c r="H3" s="28" t="n">
        <v>2024</v>
      </c>
      <c r="I3" s="28" t="inlineStr">
        <is>
          <t>S-CHM2025;
S-CONCAWE-2024</t>
        </is>
      </c>
      <c r="J3" s="28" t="inlineStr">
        <is>
          <t>E</t>
        </is>
      </c>
      <c r="K3" s="25" t="inlineStr">
        <is>
          <t>Shell discloses ~100 kt/y of grey H₂ use at Pernis to be partially replaced by Holland Hydrogen I (~21.9 kt/y from 2026). Gasification of heavy residue (1,650 t/d) provides additional H₂ — CO₂ figure may include partial gasification contribution.</t>
        </is>
      </c>
    </row>
    <row r="4" ht="26.25" customHeight="1" s="68">
      <c r="A4" s="24" t="inlineStr">
        <is>
          <t>Shell plc</t>
        </is>
      </c>
      <c r="B4" s="25" t="inlineStr">
        <is>
          <t>Rheinland (Wesseling + Godorf), DE</t>
        </is>
      </c>
      <c r="C4" s="26" t="n">
        <v>60</v>
      </c>
      <c r="D4" s="29" t="n"/>
      <c r="E4" s="26" t="n">
        <v>15</v>
      </c>
      <c r="F4" s="26" t="n">
        <v>75</v>
      </c>
      <c r="G4" s="27" t="n">
        <v>540</v>
      </c>
      <c r="H4" s="28" t="n">
        <v>2024</v>
      </c>
      <c r="I4" s="28" t="inlineStr">
        <is>
          <t>S-CHM2025;
S-CONCAWE-2024</t>
        </is>
      </c>
      <c r="J4" s="28" t="inlineStr">
        <is>
          <t>E</t>
        </is>
      </c>
      <c r="K4" s="25" t="inlineStr">
        <is>
          <t>Rheinland complex; combined Wesseling + Godorf sites; bp/Shell joint venture. REFHYNE I (10 MW PEM) operational since 2021 → 1.3 kt/y renewable H₂ (replaces fraction of grey).</t>
        </is>
      </c>
    </row>
    <row r="5" ht="26.25" customHeight="1" s="68">
      <c r="A5" s="22" t="inlineStr">
        <is>
          <t>TOTALENERGIES SE</t>
        </is>
      </c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</row>
    <row r="6" ht="26.25" customHeight="1" s="68">
      <c r="A6" s="24" t="inlineStr">
        <is>
          <t>TotalEnergies SE</t>
        </is>
      </c>
      <c r="B6" s="25" t="inlineStr">
        <is>
          <t>Donges, FR</t>
        </is>
      </c>
      <c r="C6" s="26" t="n">
        <v>40</v>
      </c>
      <c r="D6" s="29" t="n"/>
      <c r="E6" s="26" t="n">
        <v>10</v>
      </c>
      <c r="F6" s="26" t="n">
        <v>50</v>
      </c>
      <c r="G6" s="27" t="n">
        <v>360</v>
      </c>
      <c r="H6" s="28" t="n">
        <v>2024</v>
      </c>
      <c r="I6" s="28" t="inlineStr">
        <is>
          <t>S-CHM2025</t>
        </is>
      </c>
      <c r="J6" s="28" t="inlineStr">
        <is>
          <t>E</t>
        </is>
      </c>
      <c r="K6" s="25" t="inlineStr">
        <is>
          <t>Estimate from kbpd (~170 kbpd, medium complexity). No public H₂ figure from TotalEnergies for Donges.</t>
        </is>
      </c>
    </row>
    <row r="7" ht="26.25" customHeight="1" s="68">
      <c r="A7" s="24" t="inlineStr">
        <is>
          <t>TotalEnergies SE</t>
        </is>
      </c>
      <c r="B7" s="25" t="inlineStr">
        <is>
          <t>Gonfreville (La Normandie), FR</t>
        </is>
      </c>
      <c r="C7" s="26" t="n">
        <v>60</v>
      </c>
      <c r="D7" s="29" t="n"/>
      <c r="E7" s="26" t="n">
        <v>15</v>
      </c>
      <c r="F7" s="26" t="n">
        <v>75</v>
      </c>
      <c r="G7" s="27" t="n">
        <v>540</v>
      </c>
      <c r="H7" s="28" t="n">
        <v>2024</v>
      </c>
      <c r="I7" s="28" t="inlineStr">
        <is>
          <t>S-CHM2025;
S-TTE-SC24</t>
        </is>
      </c>
      <c r="J7" s="28" t="inlineStr">
        <is>
          <t>E</t>
        </is>
      </c>
      <c r="K7" s="25" t="inlineStr">
        <is>
          <t>Gonfreville hydrogen use ~75 kt/y; Air Liquide 200 MW electrolyser (Normand'Hy) targeted for 2026 to partially replace grey. Estimate from kbpd (~240 kbpd, medium-complex). TotalEnergies SC2024 references site decarbonisation.</t>
        </is>
      </c>
    </row>
    <row r="8" ht="26.25" customHeight="1" s="68">
      <c r="A8" s="24" t="inlineStr">
        <is>
          <t>TotalEnergies SE</t>
        </is>
      </c>
      <c r="B8" s="25" t="inlineStr">
        <is>
          <t>Feyzin, FR</t>
        </is>
      </c>
      <c r="C8" s="26" t="n">
        <v>20</v>
      </c>
      <c r="D8" s="29" t="n"/>
      <c r="E8" s="26" t="n">
        <v>5</v>
      </c>
      <c r="F8" s="26" t="n">
        <v>25</v>
      </c>
      <c r="G8" s="27" t="n">
        <v>180</v>
      </c>
      <c r="H8" s="28" t="n">
        <v>2024</v>
      </c>
      <c r="I8" s="28" t="inlineStr">
        <is>
          <t>S-CHM2025</t>
        </is>
      </c>
      <c r="J8" s="28" t="inlineStr">
        <is>
          <t>E</t>
        </is>
      </c>
      <c r="K8" s="25" t="inlineStr">
        <is>
          <t>Estimate from kbpd (~115 kbpd, medium complexity refinery). TotalEnergies announced Feyzin conversion pathway to chemicals/low-carbon by 2030.</t>
        </is>
      </c>
    </row>
    <row r="9" ht="26.25" customHeight="1" s="68">
      <c r="A9" s="30" t="inlineStr">
        <is>
          <t>TotalEnergies SE</t>
        </is>
      </c>
      <c r="B9" s="31" t="inlineStr">
        <is>
          <t>La Mède (biorefinery), FR</t>
        </is>
      </c>
      <c r="C9" s="32" t="n">
        <v>0</v>
      </c>
      <c r="D9" s="32" t="n">
        <v>0</v>
      </c>
      <c r="E9" s="32" t="n">
        <v>0</v>
      </c>
      <c r="F9" s="32" t="n">
        <v>0</v>
      </c>
      <c r="G9" s="33" t="n"/>
      <c r="H9" s="34" t="n">
        <v>2024</v>
      </c>
      <c r="I9" s="34" t="inlineStr">
        <is>
          <t>S-TTE-FR24</t>
        </is>
      </c>
      <c r="J9" s="34" t="inlineStr">
        <is>
          <t>M</t>
        </is>
      </c>
      <c r="K9" s="31" t="inlineStr">
        <is>
          <t>La Mède is HVO biorefinery (converted 2019) — legacy conventional H₂ demand = 0. H₂ input via biomass-to-H₂ / small SMR for HVO process; not counted as grey refinery demand.</t>
        </is>
      </c>
    </row>
    <row r="10" ht="26.25" customHeight="1" s="68">
      <c r="A10" s="30" t="inlineStr">
        <is>
          <t>TotalEnergies SE</t>
        </is>
      </c>
      <c r="B10" s="31" t="inlineStr">
        <is>
          <t>Grandpuits (biorefinery, converted), FR</t>
        </is>
      </c>
      <c r="C10" s="32" t="n">
        <v>0</v>
      </c>
      <c r="D10" s="32" t="n">
        <v>0</v>
      </c>
      <c r="E10" s="32" t="n">
        <v>0</v>
      </c>
      <c r="F10" s="32" t="n">
        <v>0</v>
      </c>
      <c r="G10" s="33" t="n"/>
      <c r="H10" s="34" t="n">
        <v>2024</v>
      </c>
      <c r="I10" s="34" t="inlineStr">
        <is>
          <t>S-TTE-SC24</t>
        </is>
      </c>
      <c r="J10" s="34" t="inlineStr">
        <is>
          <t>M</t>
        </is>
      </c>
      <c r="K10" s="31" t="inlineStr">
        <is>
          <t>Grandpuits biorefinery + biomethane (converted 2021) — legacy conventional H₂ demand = 0. Air Liquide partnership; biomethane SMR for HVO H₂.</t>
        </is>
      </c>
    </row>
    <row r="11" ht="82.8" customHeight="1" s="68">
      <c r="A11" s="24" t="inlineStr">
        <is>
          <t>TotalEnergies SE</t>
        </is>
      </c>
      <c r="B11" s="25" t="inlineStr">
        <is>
          <t>Antwerp, BE</t>
        </is>
      </c>
      <c r="C11" s="26" t="n">
        <v>75</v>
      </c>
      <c r="D11" s="29" t="n"/>
      <c r="E11" s="26" t="n">
        <v>10</v>
      </c>
      <c r="F11" s="26" t="n">
        <v>85</v>
      </c>
      <c r="G11" s="27" t="n">
        <v>675</v>
      </c>
      <c r="H11" s="28" t="n">
        <v>2024</v>
      </c>
      <c r="I11" s="28" t="inlineStr">
        <is>
          <t>S-CHM2025;
S-TTE-SC24</t>
        </is>
      </c>
      <c r="J11" s="28" t="inlineStr">
        <is>
          <t>E</t>
        </is>
      </c>
      <c r="K11" s="25" t="inlineStr">
        <is>
          <t>Antwerp ~85 kt/y H₂; 15 kt/y green H₂ from 2027 via Air Liquide 200 MW electrolyser tolling agreement (SEC filing 2025). TotalEnergies Antwerp ~338 kbpd; SAF co-processing from 2025.</t>
        </is>
      </c>
    </row>
    <row r="12" ht="82.8" customHeight="1" s="68">
      <c r="A12" s="24" t="inlineStr">
        <is>
          <t>TotalEnergies SE</t>
        </is>
      </c>
      <c r="B12" s="25" t="inlineStr">
        <is>
          <t>Leuna, DE</t>
        </is>
      </c>
      <c r="C12" s="26" t="n">
        <v>40</v>
      </c>
      <c r="D12" s="29" t="n"/>
      <c r="E12" s="26" t="n">
        <v>10</v>
      </c>
      <c r="F12" s="26" t="n">
        <v>50</v>
      </c>
      <c r="G12" s="27" t="n">
        <v>360</v>
      </c>
      <c r="H12" s="28" t="n">
        <v>2024</v>
      </c>
      <c r="I12" s="28" t="inlineStr">
        <is>
          <t>S-CHM2025;
S-TTE-SC24</t>
        </is>
      </c>
      <c r="J12" s="28" t="inlineStr">
        <is>
          <t>E</t>
        </is>
      </c>
      <c r="K12" s="25" t="inlineStr">
        <is>
          <t>Leuna H₂ use ~50 kt/y; 30 kt/y green H₂ from RWE Lingen electrolyser (GET H2 Nukleus pipeline) targeted 2025–2026. TotalEnergies SC2024 references Leuna as priority decarbonisation site.</t>
        </is>
      </c>
    </row>
    <row r="13">
      <c r="A13" s="22" t="inlineStr">
        <is>
          <t>BP PLC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</row>
    <row r="14" ht="82.8" customHeight="1" s="68">
      <c r="A14" s="24" t="inlineStr">
        <is>
          <t>BP plc</t>
        </is>
      </c>
      <c r="B14" s="25" t="inlineStr">
        <is>
          <t>Rotterdam (NL)</t>
        </is>
      </c>
      <c r="C14" s="26" t="n">
        <v>90</v>
      </c>
      <c r="D14" s="26" t="n">
        <v>5</v>
      </c>
      <c r="E14" s="26" t="n">
        <v>20</v>
      </c>
      <c r="F14" s="26" t="n">
        <v>115</v>
      </c>
      <c r="G14" s="27" t="n">
        <v>810</v>
      </c>
      <c r="H14" s="28" t="n">
        <v>2024</v>
      </c>
      <c r="I14" s="28" t="inlineStr">
        <is>
          <t>S-CHM2025;
S-CONCAWE-2024</t>
        </is>
      </c>
      <c r="J14" s="28" t="inlineStr">
        <is>
          <t>E</t>
        </is>
      </c>
      <c r="K14" s="25" t="inlineStr">
        <is>
          <t>bp Rotterdam ~115 kt/y captive + merchant; closely linked to Air Products SMR+CCS retrofit (216 kt/y combined Rotterdam, bp announced blue H₂ offtake). CONCAWE-2024 Rotterdam H₂ cluster reference.</t>
        </is>
      </c>
    </row>
    <row r="15" ht="69" customHeight="1" s="68">
      <c r="A15" s="24" t="inlineStr">
        <is>
          <t>BP plc</t>
        </is>
      </c>
      <c r="B15" s="25" t="inlineStr">
        <is>
          <t>Gelsenkirchen, DE</t>
        </is>
      </c>
      <c r="C15" s="26" t="n">
        <v>60</v>
      </c>
      <c r="D15" s="29" t="n"/>
      <c r="E15" s="26" t="n">
        <v>20</v>
      </c>
      <c r="F15" s="26" t="n">
        <v>80</v>
      </c>
      <c r="G15" s="27" t="n">
        <v>540</v>
      </c>
      <c r="H15" s="28" t="n">
        <v>2024</v>
      </c>
      <c r="I15" s="28" t="inlineStr">
        <is>
          <t>S-CHM2025;
S-CONCAWE-2024</t>
        </is>
      </c>
      <c r="J15" s="28" t="inlineStr">
        <is>
          <t>E</t>
        </is>
      </c>
      <c r="K15" s="25" t="inlineStr">
        <is>
          <t>Estimate based on capacity (~260 kbpd Ruhr complex, bp ~60%). PCK Schwedt (Rosneft) is separate. No specific H₂ figure disclosed for Gelsenkirchen by bp.</t>
        </is>
      </c>
    </row>
    <row r="16" ht="82.8" customHeight="1" s="68">
      <c r="A16" s="24" t="inlineStr">
        <is>
          <t>BP plc</t>
        </is>
      </c>
      <c r="B16" s="25" t="inlineStr">
        <is>
          <t>Castellón, ES</t>
        </is>
      </c>
      <c r="C16" s="26" t="n">
        <v>15</v>
      </c>
      <c r="D16" s="29" t="n"/>
      <c r="E16" s="26" t="n">
        <v>5</v>
      </c>
      <c r="F16" s="26" t="n">
        <v>20</v>
      </c>
      <c r="G16" s="27" t="n">
        <v>135</v>
      </c>
      <c r="H16" s="28" t="n">
        <v>2024</v>
      </c>
      <c r="I16" s="28" t="inlineStr">
        <is>
          <t>S-CHM2025;
S-BP-AR24</t>
        </is>
      </c>
      <c r="J16" s="28" t="inlineStr">
        <is>
          <t>E</t>
        </is>
      </c>
      <c r="K16" s="25" t="inlineStr">
        <is>
          <t>Castellón H₂ use ~20 kt/y. 25 MW PEM electrolyser (~2.8 kt/y green H₂) under construction (bp AR2024). Phase-2: 200 MW electrolyser (~31 kt/y) targeted 2027 as part of bp 'H₂ Castellón' project.</t>
        </is>
      </c>
    </row>
    <row r="17" ht="26.25" customHeight="1" s="68">
      <c r="A17" s="22" t="inlineStr">
        <is>
          <t>ENI S.P.A.</t>
        </is>
      </c>
      <c r="B17" s="23" t="n"/>
      <c r="C17" s="23" t="n"/>
      <c r="D17" s="23" t="n"/>
      <c r="E17" s="23" t="n"/>
      <c r="F17" s="23" t="n"/>
      <c r="G17" s="23" t="n"/>
      <c r="H17" s="23" t="n"/>
      <c r="I17" s="23" t="n"/>
      <c r="J17" s="23" t="n"/>
      <c r="K17" s="23" t="n"/>
    </row>
    <row r="18" ht="26.25" customHeight="1" s="68">
      <c r="A18" s="24" t="inlineStr">
        <is>
          <t>Eni S.p.A.</t>
        </is>
      </c>
      <c r="B18" s="25" t="inlineStr">
        <is>
          <t>Sannazzaro de' Burgondi, IT</t>
        </is>
      </c>
      <c r="C18" s="26" t="n">
        <v>35</v>
      </c>
      <c r="D18" s="29" t="n"/>
      <c r="E18" s="26" t="n">
        <v>10</v>
      </c>
      <c r="F18" s="26" t="n">
        <v>45</v>
      </c>
      <c r="G18" s="27" t="n">
        <v>315</v>
      </c>
      <c r="H18" s="28" t="n">
        <v>2024</v>
      </c>
      <c r="I18" s="28" t="inlineStr">
        <is>
          <t>S-CHM2025</t>
        </is>
      </c>
      <c r="J18" s="28" t="inlineStr">
        <is>
          <t>E</t>
        </is>
      </c>
      <c r="K18" s="25" t="inlineStr">
        <is>
          <t>Estimate from kbpd (~200 kbpd); complex refinery (hydrocracker). Eni AR2024 does not break down H₂ by refinery site.</t>
        </is>
      </c>
    </row>
    <row r="19" ht="69" customHeight="1" s="68">
      <c r="A19" s="30" t="inlineStr">
        <is>
          <t>Eni S.p.A.</t>
        </is>
      </c>
      <c r="B19" s="31" t="inlineStr">
        <is>
          <t>Livorno, IT</t>
        </is>
      </c>
      <c r="C19" s="32" t="n">
        <v>0</v>
      </c>
      <c r="D19" s="32" t="n">
        <v>0</v>
      </c>
      <c r="E19" s="32" t="n">
        <v>0</v>
      </c>
      <c r="F19" s="32" t="n">
        <v>0</v>
      </c>
      <c r="G19" s="33" t="n"/>
      <c r="H19" s="34" t="n">
        <v>2024</v>
      </c>
      <c r="I19" s="34" t="inlineStr">
        <is>
          <t>S-ENI-AR24</t>
        </is>
      </c>
      <c r="J19" s="34" t="inlineStr">
        <is>
          <t>M</t>
        </is>
      </c>
      <c r="K19" s="31" t="inlineStr">
        <is>
          <t>Livorno under conversion to HVO (Enilive); legacy conventional H₂ demand winding down to ~0. Eni AR2024: Livorno classified as biorefinery transition site.</t>
        </is>
      </c>
    </row>
    <row r="20" ht="41.4" customHeight="1" s="68">
      <c r="A20" s="24" t="inlineStr">
        <is>
          <t>Eni S.p.A.</t>
        </is>
      </c>
      <c r="B20" s="25" t="inlineStr">
        <is>
          <t>Taranto, IT</t>
        </is>
      </c>
      <c r="C20" s="26" t="n">
        <v>12</v>
      </c>
      <c r="D20" s="29" t="n"/>
      <c r="E20" s="26" t="n">
        <v>3</v>
      </c>
      <c r="F20" s="26" t="n">
        <v>15</v>
      </c>
      <c r="G20" s="27" t="n">
        <v>108</v>
      </c>
      <c r="H20" s="28" t="n">
        <v>2024</v>
      </c>
      <c r="I20" s="28" t="inlineStr">
        <is>
          <t>S-CHM2025</t>
        </is>
      </c>
      <c r="J20" s="28" t="inlineStr">
        <is>
          <t>E</t>
        </is>
      </c>
      <c r="K20" s="25" t="inlineStr">
        <is>
          <t>Estimate (~80 kbpd, simpler configuration). Lower complexity → lower H₂ intensity.</t>
        </is>
      </c>
    </row>
    <row r="21" ht="55.2" customHeight="1" s="68">
      <c r="A21" s="30" t="inlineStr">
        <is>
          <t>Eni S.p.A.</t>
        </is>
      </c>
      <c r="B21" s="31" t="inlineStr">
        <is>
          <t>Venice (Porto Marghera, biorefinery), IT</t>
        </is>
      </c>
      <c r="C21" s="32" t="n">
        <v>0</v>
      </c>
      <c r="D21" s="32" t="n">
        <v>0</v>
      </c>
      <c r="E21" s="32" t="n">
        <v>0</v>
      </c>
      <c r="F21" s="32" t="n">
        <v>0</v>
      </c>
      <c r="G21" s="33" t="n"/>
      <c r="H21" s="34" t="n">
        <v>2024</v>
      </c>
      <c r="I21" s="34" t="inlineStr">
        <is>
          <t>S-ENI-AR24</t>
        </is>
      </c>
      <c r="J21" s="34" t="inlineStr">
        <is>
          <t>M</t>
        </is>
      </c>
      <c r="K21" s="31" t="inlineStr">
        <is>
          <t>Venice biorefinery (converted 2014) — H₂ input from small natural gas reformer for HVO process. Legacy grey refinery H₂ demand = 0.</t>
        </is>
      </c>
    </row>
    <row r="22" ht="55.2" customHeight="1" s="68">
      <c r="A22" s="30" t="inlineStr">
        <is>
          <t>Eni S.p.A.</t>
        </is>
      </c>
      <c r="B22" s="31" t="inlineStr">
        <is>
          <t>Gela (biorefinery, converted), IT</t>
        </is>
      </c>
      <c r="C22" s="32" t="n">
        <v>0</v>
      </c>
      <c r="D22" s="32" t="n">
        <v>0</v>
      </c>
      <c r="E22" s="32" t="n">
        <v>0</v>
      </c>
      <c r="F22" s="32" t="n">
        <v>0</v>
      </c>
      <c r="G22" s="33" t="n"/>
      <c r="H22" s="34" t="n">
        <v>2024</v>
      </c>
      <c r="I22" s="34" t="inlineStr">
        <is>
          <t>S-ENI-AR24</t>
        </is>
      </c>
      <c r="J22" s="34" t="inlineStr">
        <is>
          <t>M</t>
        </is>
      </c>
      <c r="K22" s="31" t="inlineStr">
        <is>
          <t>Gela biorefinery (converted 2019) — H₂ input from natural gas reformer (small scale). Legacy grey refinery H₂ demand = 0.</t>
        </is>
      </c>
    </row>
    <row r="23" ht="165.6" customHeight="1" s="68">
      <c r="A23" s="35" t="inlineStr">
        <is>
          <t>Eni S.p.A.</t>
        </is>
      </c>
      <c r="B23" s="36" t="inlineStr">
        <is>
          <t>Milazzo — RAM (JV Eni 50% / Q8 50%), IT</t>
        </is>
      </c>
      <c r="C23" s="37" t="n">
        <v>45</v>
      </c>
      <c r="D23" s="38" t="n"/>
      <c r="E23" s="37" t="n">
        <v>12</v>
      </c>
      <c r="F23" s="37" t="n">
        <v>57</v>
      </c>
      <c r="G23" s="39" t="n">
        <v>405</v>
      </c>
      <c r="H23" s="40" t="n">
        <v>2024</v>
      </c>
      <c r="I23" s="40" t="inlineStr">
        <is>
          <t>S-CHM2025;
RAM-WEB</t>
        </is>
      </c>
      <c r="J23" s="40" t="inlineStr">
        <is>
          <t>E</t>
        </is>
      </c>
      <c r="K23" s="36" t="inlineStr">
        <is>
          <t>★ LINHA EM FALTA — Raffineria di Milazzo (RAM): JV Eni 50% / Kuwait Petroleum Italia (Q8) 50% desde 1996. ~220 kbpd (~10 Mt/y crude), NCI ~11-12, uma das mais complexas da Europa (Q8 website; Il Sole 24 Ore 2025). H₂ est. ~57 kt/y (NCI-adjusted factor ~26 kt/100 kbpd). Sem disclosure público de H₂ da RAM. CO₂ = Captive × 9 t/t (apenas quota Eni: 45 × 9 = 405 kt CO₂/y).</t>
        </is>
      </c>
    </row>
    <row r="24">
      <c r="A24" s="22" t="inlineStr">
        <is>
          <t>REPSOL S.A.</t>
        </is>
      </c>
      <c r="B24" s="23" t="n"/>
      <c r="C24" s="23" t="n"/>
      <c r="D24" s="23" t="n"/>
      <c r="E24" s="23" t="n"/>
      <c r="F24" s="23" t="n"/>
      <c r="G24" s="23" t="n"/>
      <c r="H24" s="23" t="n"/>
      <c r="I24" s="23" t="n"/>
      <c r="J24" s="23" t="n"/>
      <c r="K24" s="23" t="n"/>
    </row>
    <row r="25" ht="69" customHeight="1" s="68">
      <c r="A25" s="24" t="inlineStr">
        <is>
          <t>Repsol S.A.</t>
        </is>
      </c>
      <c r="B25" s="25" t="inlineStr">
        <is>
          <t>Cartagena, ES</t>
        </is>
      </c>
      <c r="C25" s="26" t="n">
        <v>45</v>
      </c>
      <c r="D25" s="29" t="n"/>
      <c r="E25" s="26" t="n">
        <v>10</v>
      </c>
      <c r="F25" s="26" t="n">
        <v>55</v>
      </c>
      <c r="G25" s="27" t="n">
        <v>405</v>
      </c>
      <c r="H25" s="28" t="n">
        <v>2024</v>
      </c>
      <c r="I25" s="28" t="inlineStr">
        <is>
          <t>S-CHM2025;
S-REPSOL-AR24</t>
        </is>
      </c>
      <c r="J25" s="28" t="inlineStr">
        <is>
          <t>E</t>
        </is>
      </c>
      <c r="K25" s="25" t="inlineStr">
        <is>
          <t>Cartagena ~55 kt/y H₂. 100 MW electrolyser (~15 kt/y green H₂) FID Sep 2025 for 2029 start. Repsol AR2024 cites Cartagena as flagship green H₂ project.</t>
        </is>
      </c>
    </row>
    <row r="26" ht="55.2" customHeight="1" s="68">
      <c r="A26" s="24" t="inlineStr">
        <is>
          <t>Repsol S.A.</t>
        </is>
      </c>
      <c r="B26" s="25" t="inlineStr">
        <is>
          <t>Petronor (Bilbao), ES</t>
        </is>
      </c>
      <c r="C26" s="26" t="n">
        <v>45</v>
      </c>
      <c r="D26" s="29" t="n"/>
      <c r="E26" s="26" t="n">
        <v>10</v>
      </c>
      <c r="F26" s="26" t="n">
        <v>55</v>
      </c>
      <c r="G26" s="27" t="n">
        <v>405</v>
      </c>
      <c r="H26" s="28" t="n">
        <v>2024</v>
      </c>
      <c r="I26" s="28" t="inlineStr">
        <is>
          <t>S-CHM2025;
S-REPSOL-AR24</t>
        </is>
      </c>
      <c r="J26" s="28" t="inlineStr">
        <is>
          <t>E</t>
        </is>
      </c>
      <c r="K26" s="25" t="inlineStr">
        <is>
          <t>Petronor ~55 kt/y H₂. 2.5 MW PEM operational since 2023; 100 MW FID for 2029; 10 MW UC for e-fuels. Repsol AR2024.</t>
        </is>
      </c>
    </row>
    <row r="27" ht="55.2" customHeight="1" s="68">
      <c r="A27" s="24" t="inlineStr">
        <is>
          <t>Repsol S.A.</t>
        </is>
      </c>
      <c r="B27" s="25" t="inlineStr">
        <is>
          <t>Puertollano, ES</t>
        </is>
      </c>
      <c r="C27" s="26" t="n">
        <v>30</v>
      </c>
      <c r="D27" s="29" t="n"/>
      <c r="E27" s="26" t="n">
        <v>8</v>
      </c>
      <c r="F27" s="26" t="n">
        <v>38</v>
      </c>
      <c r="G27" s="27" t="n">
        <v>270</v>
      </c>
      <c r="H27" s="28" t="n">
        <v>2024</v>
      </c>
      <c r="I27" s="28" t="inlineStr">
        <is>
          <t>S-CHM2025;
S-REPSOL-AR24</t>
        </is>
      </c>
      <c r="J27" s="28" t="inlineStr">
        <is>
          <t>E</t>
        </is>
      </c>
      <c r="K27" s="25" t="inlineStr">
        <is>
          <t>Puertollano H₂ use ~38 kt/y; biohydrogen plant under construction for 2026 start. Repsol AR2024.</t>
        </is>
      </c>
    </row>
    <row r="28" ht="41.4" customHeight="1" s="68">
      <c r="A28" s="24" t="inlineStr">
        <is>
          <t>Repsol S.A.</t>
        </is>
      </c>
      <c r="B28" s="25" t="inlineStr">
        <is>
          <t>Tarragona, ES</t>
        </is>
      </c>
      <c r="C28" s="26" t="n">
        <v>35</v>
      </c>
      <c r="D28" s="29" t="n"/>
      <c r="E28" s="26" t="n">
        <v>10</v>
      </c>
      <c r="F28" s="26" t="n">
        <v>45</v>
      </c>
      <c r="G28" s="27" t="n">
        <v>315</v>
      </c>
      <c r="H28" s="28" t="n">
        <v>2024</v>
      </c>
      <c r="I28" s="28" t="inlineStr">
        <is>
          <t>S-CHM2025;
S-REPSOL-AR24</t>
        </is>
      </c>
      <c r="J28" s="28" t="inlineStr">
        <is>
          <t>E</t>
        </is>
      </c>
      <c r="K28" s="25" t="inlineStr">
        <is>
          <t>Tarragona ~45 kt/y H₂. Repsol AR2024.</t>
        </is>
      </c>
    </row>
    <row r="29" ht="41.4" customHeight="1" s="68">
      <c r="A29" s="24" t="inlineStr">
        <is>
          <t>Repsol S.A.</t>
        </is>
      </c>
      <c r="B29" s="25" t="inlineStr">
        <is>
          <t>A Coruña, ES</t>
        </is>
      </c>
      <c r="C29" s="26" t="n">
        <v>25</v>
      </c>
      <c r="D29" s="29" t="n"/>
      <c r="E29" s="26" t="n">
        <v>5</v>
      </c>
      <c r="F29" s="26" t="n">
        <v>30</v>
      </c>
      <c r="G29" s="27" t="n">
        <v>225</v>
      </c>
      <c r="H29" s="28" t="n">
        <v>2024</v>
      </c>
      <c r="I29" s="28" t="inlineStr">
        <is>
          <t>S-CHM2025;
S-REPSOL-AR24</t>
        </is>
      </c>
      <c r="J29" s="28" t="inlineStr">
        <is>
          <t>E</t>
        </is>
      </c>
      <c r="K29" s="25" t="inlineStr">
        <is>
          <t>A Coruña ~30 kt/y H₂. Repsol AR2024.</t>
        </is>
      </c>
    </row>
    <row r="30" ht="41.4" customHeight="1" s="68">
      <c r="A30" s="41" t="inlineStr">
        <is>
          <t>TOTAL (grey H₂ demand, SMR-sourced)</t>
        </is>
      </c>
      <c r="B30" s="21" t="n"/>
      <c r="C30" s="42">
        <f>SUMIF(J2:J29,"E",C2:C29)+SUMIF(J2:J29,"M",C2:C29)</f>
        <v/>
      </c>
      <c r="D30" s="42">
        <f>SUMIF(J2:J29,"E",D2:D29)+SUMIF(J2:J29,"M",D2:D29)</f>
        <v/>
      </c>
      <c r="E30" s="42">
        <f>SUMIF(J2:J29,"E",E2:E29)+SUMIF(J2:J29,"M",E2:E29)</f>
        <v/>
      </c>
      <c r="F30" s="42">
        <f>SUMIF(J2:J29,"E",F2:F29)+SUMIF(J2:J29,"M",F2:F29)</f>
        <v/>
      </c>
      <c r="G30" s="43">
        <f>SUMIF(J2:J29,"E",G2:G29)+SUMIF(J2:J29,"M",G2:G29)</f>
        <v/>
      </c>
      <c r="H30" s="21" t="n"/>
      <c r="I30" s="21" t="n"/>
      <c r="J30" s="21" t="n"/>
      <c r="K30" s="21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53"/>
  <sheetViews>
    <sheetView zoomScaleNormal="100" workbookViewId="0">
      <pane xSplit="2" ySplit="1" topLeftCell="C22" activePane="bottomRight" state="frozen"/>
      <selection pane="topRight" activeCell="C1" sqref="C1"/>
      <selection pane="bottomLeft" activeCell="A2" sqref="A2"/>
      <selection pane="bottomRight" activeCell="A1" sqref="A1"/>
    </sheetView>
  </sheetViews>
  <sheetFormatPr baseColWidth="8" defaultColWidth="8.6640625" defaultRowHeight="14.4"/>
  <cols>
    <col width="16" customWidth="1" style="68" min="1" max="1"/>
    <col width="24" customWidth="1" style="68" min="2" max="2"/>
    <col width="12" customWidth="1" style="68" min="3" max="3"/>
    <col width="22" customWidth="1" style="68" min="4" max="5"/>
    <col width="14" customWidth="1" style="68" min="6" max="8"/>
    <col width="12" customWidth="1" style="68" min="9" max="10"/>
    <col width="18" customWidth="1" style="68" min="11" max="11"/>
    <col width="12" customWidth="1" style="68" min="12" max="12"/>
    <col width="10" customWidth="1" style="68" min="13" max="14"/>
    <col width="18" customWidth="1" style="68" min="15" max="15"/>
    <col width="22" customWidth="1" style="68" min="16" max="16"/>
    <col width="12" customWidth="1" style="68" min="17" max="17"/>
    <col width="13" customWidth="1" style="68" min="18" max="18"/>
    <col width="30" customWidth="1" style="68" min="19" max="19"/>
  </cols>
  <sheetData>
    <row r="1" ht="60" customHeight="1" s="68">
      <c r="A1" s="11" t="inlineStr">
        <is>
          <t>Company</t>
        </is>
      </c>
      <c r="B1" s="11" t="inlineStr">
        <is>
          <t>Project name</t>
        </is>
      </c>
      <c r="C1" s="11" t="inlineStr">
        <is>
          <t>Country</t>
        </is>
      </c>
      <c r="D1" s="11" t="inlineStr">
        <is>
          <t>Site / refinery linked</t>
        </is>
      </c>
      <c r="E1" s="11" t="inlineStr">
        <is>
          <t>Partners</t>
        </is>
      </c>
      <c r="F1" s="11" t="inlineStr">
        <is>
          <t>Electrolyser capacity (MWel)</t>
        </is>
      </c>
      <c r="G1" s="11" t="inlineStr">
        <is>
          <t>Technology (PEM / AEL / SOEC)</t>
        </is>
      </c>
      <c r="H1" s="11" t="inlineStr">
        <is>
          <t>Expected H₂ output (kt/y)</t>
        </is>
      </c>
      <c r="I1" s="11" t="inlineStr">
        <is>
          <t>CAPEX (€m)</t>
        </is>
      </c>
      <c r="J1" s="11" t="inlineStr">
        <is>
          <t>Public funding (€m)</t>
        </is>
      </c>
      <c r="K1" s="11" t="inlineStr">
        <is>
          <t>Funding scheme</t>
        </is>
      </c>
      <c r="L1" s="11" t="inlineStr">
        <is>
          <t>Year announced</t>
        </is>
      </c>
      <c r="M1" s="11" t="inlineStr">
        <is>
          <t>FID year</t>
        </is>
      </c>
      <c r="N1" s="11" t="inlineStr">
        <is>
          <t>COD (year)</t>
        </is>
      </c>
      <c r="O1" s="11" t="inlineStr">
        <is>
          <t>Status (Announced / FEED / FID / UC / Operational / Cancelled)</t>
        </is>
      </c>
      <c r="P1" s="11" t="inlineStr">
        <is>
          <t>Offtake / end-use</t>
        </is>
      </c>
      <c r="Q1" s="11" t="inlineStr">
        <is>
          <t>Source_ID</t>
        </is>
      </c>
      <c r="R1" s="11" t="inlineStr">
        <is>
          <t>Data_Quality</t>
        </is>
      </c>
      <c r="S1" s="11" t="inlineStr">
        <is>
          <t>Notes</t>
        </is>
      </c>
    </row>
    <row r="2" ht="52.8" customHeight="1" s="68">
      <c r="A2" s="14" t="inlineStr">
        <is>
          <t>Shell plc</t>
        </is>
      </c>
      <c r="B2" s="14" t="inlineStr">
        <is>
          <t>Holland Hydrogen I (HH1)</t>
        </is>
      </c>
      <c r="C2" s="14" t="inlineStr">
        <is>
          <t>Netherlands</t>
        </is>
      </c>
      <c r="D2" s="14" t="inlineStr">
        <is>
          <t>Pernis (Maasvlakte 2, Rotterdam)</t>
        </is>
      </c>
      <c r="E2" s="14" t="inlineStr">
        <is>
          <t>Shell (100%); EPC: thyssenkrupp nucera; pipeline: Gasunie</t>
        </is>
      </c>
      <c r="F2" s="14" t="n">
        <v>200</v>
      </c>
      <c r="G2" s="14" t="inlineStr">
        <is>
          <t>AEL</t>
        </is>
      </c>
      <c r="H2" s="14" t="n">
        <v>21.9</v>
      </c>
      <c r="I2" s="14" t="n"/>
      <c r="J2" s="14" t="n"/>
      <c r="K2" s="14" t="inlineStr">
        <is>
          <t>IPCEI Hy2Use (notified)</t>
        </is>
      </c>
      <c r="L2" s="14" t="n">
        <v>2021</v>
      </c>
      <c r="M2" s="14" t="n">
        <v>2022</v>
      </c>
      <c r="N2" s="14" t="n">
        <v>2026</v>
      </c>
      <c r="O2" s="14" t="inlineStr">
        <is>
          <t>Under Construction</t>
        </is>
      </c>
      <c r="P2" s="14" t="inlineStr">
        <is>
          <t>Pernis refinery (RFNBO compliance)</t>
        </is>
      </c>
      <c r="Q2" s="14" t="inlineStr">
        <is>
          <t>S-SHELL-AR24; S-IEA-HPDB25; S-CHM2025</t>
        </is>
      </c>
      <c r="R2" s="14" t="inlineStr">
        <is>
          <t>A</t>
        </is>
      </c>
      <c r="S2" s="14" t="inlineStr">
        <is>
          <t>Europe’s largest renewable H2 plant under construction; 60 t/day; 32 km HyTransPort pipeline near completion (Jan 2026).</t>
        </is>
      </c>
    </row>
    <row r="3" ht="52.8" customHeight="1" s="68">
      <c r="A3" s="14" t="inlineStr">
        <is>
          <t>Shell plc</t>
        </is>
      </c>
      <c r="B3" s="14" t="inlineStr">
        <is>
          <t>REFHYNE II</t>
        </is>
      </c>
      <c r="C3" s="14" t="inlineStr">
        <is>
          <t>Germany</t>
        </is>
      </c>
      <c r="D3" s="14" t="inlineStr">
        <is>
          <t>Rheinland Energy &amp; Chemicals Park (Wesseling)</t>
        </is>
      </c>
      <c r="E3" s="14" t="inlineStr">
        <is>
          <t>Shell; ITM Power (electrolyser); EU CHP</t>
        </is>
      </c>
      <c r="F3" s="14" t="n">
        <v>100</v>
      </c>
      <c r="G3" s="14" t="inlineStr">
        <is>
          <t>PEM</t>
        </is>
      </c>
      <c r="H3" s="14" t="n">
        <v>14.5</v>
      </c>
      <c r="I3" s="14" t="n"/>
      <c r="J3" s="14" t="n">
        <v>32</v>
      </c>
      <c r="K3" s="14" t="inlineStr">
        <is>
          <t>Clean Hydrogen Partnership / IPCEI Hy2Use</t>
        </is>
      </c>
      <c r="L3" s="14" t="n">
        <v>2022</v>
      </c>
      <c r="M3" s="14" t="n">
        <v>2024</v>
      </c>
      <c r="N3" s="14" t="n">
        <v>2027</v>
      </c>
      <c r="O3" s="14" t="inlineStr">
        <is>
          <t>FID/Construction</t>
        </is>
      </c>
      <c r="P3" s="14" t="inlineStr">
        <is>
          <t>Rheinland refinery hydrocrackers</t>
        </is>
      </c>
      <c r="Q3" s="14" t="inlineStr">
        <is>
          <t>S-SHELL-AR24; S-IEA-HPDB25; S-CHP-IPCEI</t>
        </is>
      </c>
      <c r="R3" s="14" t="inlineStr">
        <is>
          <t>A</t>
        </is>
      </c>
      <c r="S3" s="14" t="inlineStr">
        <is>
          <t>Follow-on to 10 MW REFHYNE I (operational 2021). FID Q4 2024 reported by Hydrogen Europe.</t>
        </is>
      </c>
    </row>
    <row r="4" ht="39.6" customHeight="1" s="68">
      <c r="A4" s="14" t="inlineStr">
        <is>
          <t>Shell plc</t>
        </is>
      </c>
      <c r="B4" s="14" t="inlineStr">
        <is>
          <t>Shell heavy residue gasification CCUS (Pernis)</t>
        </is>
      </c>
      <c r="C4" s="14" t="inlineStr">
        <is>
          <t>Netherlands</t>
        </is>
      </c>
      <c r="D4" s="14" t="inlineStr">
        <is>
          <t>Pernis</t>
        </is>
      </c>
      <c r="E4" s="14" t="inlineStr">
        <is>
          <t>Shell; Porthos (CCS infrastructure)</t>
        </is>
      </c>
      <c r="F4" s="14" t="n"/>
      <c r="G4" s="14" t="inlineStr">
        <is>
          <t>Thermochemical (POX+CCS)</t>
        </is>
      </c>
      <c r="H4" s="14" t="n">
        <v>100</v>
      </c>
      <c r="I4" s="14" t="n"/>
      <c r="J4" s="14" t="n"/>
      <c r="K4" s="14" t="inlineStr">
        <is>
          <t>Porthos</t>
        </is>
      </c>
      <c r="L4" s="14" t="n">
        <v>2022</v>
      </c>
      <c r="M4" s="14" t="n">
        <v>2023</v>
      </c>
      <c r="N4" s="14" t="n">
        <v>2026</v>
      </c>
      <c r="O4" s="14" t="inlineStr">
        <is>
          <t>Under Construction</t>
        </is>
      </c>
      <c r="P4" s="14" t="inlineStr">
        <is>
          <t>Pernis refinery; CO2 to Porthos storage</t>
        </is>
      </c>
      <c r="Q4" s="14" t="inlineStr">
        <is>
          <t>S-IEA-HPDB25; S-CHM2025</t>
        </is>
      </c>
      <c r="R4" s="14" t="inlineStr">
        <is>
          <t>A</t>
        </is>
      </c>
      <c r="S4" s="14" t="inlineStr">
        <is>
          <t>Adding CCS to existing heavy residue gasification unit; ~100 kt/y abated H2.</t>
        </is>
      </c>
    </row>
    <row r="5" ht="39.6" customHeight="1" s="68">
      <c r="A5" s="14" t="inlineStr">
        <is>
          <t>Shell plc</t>
        </is>
      </c>
      <c r="B5" s="14" t="inlineStr">
        <is>
          <t>Humber Hub Blue (North Killingholme)</t>
        </is>
      </c>
      <c r="C5" s="14" t="inlineStr">
        <is>
          <t>United Kingdom</t>
        </is>
      </c>
      <c r="D5" s="14" t="inlineStr">
        <is>
          <t>Killingholme</t>
        </is>
      </c>
      <c r="E5" s="14" t="inlineStr">
        <is>
          <t>Shell; Equinor; Uniper</t>
        </is>
      </c>
      <c r="F5" s="14" t="n"/>
      <c r="G5" s="14" t="inlineStr">
        <is>
          <t>Thermochemical (ATR+CCS)</t>
        </is>
      </c>
      <c r="H5" s="14" t="n">
        <v>180</v>
      </c>
      <c r="I5" s="14" t="n"/>
      <c r="J5" s="14" t="n"/>
      <c r="K5" s="14" t="inlineStr">
        <is>
          <t>UK Hydrogen Allocation Round / CCUS Track-1</t>
        </is>
      </c>
      <c r="L5" s="14" t="n">
        <v>2021</v>
      </c>
      <c r="M5" s="14" t="n"/>
      <c r="N5" s="14" t="n">
        <v>2029</v>
      </c>
      <c r="O5" s="14" t="inlineStr">
        <is>
          <t>Feasibility</t>
        </is>
      </c>
      <c r="P5" s="14" t="inlineStr">
        <is>
          <t>Industrial cluster offtake (Humber)</t>
        </is>
      </c>
      <c r="Q5" s="14" t="inlineStr">
        <is>
          <t>S-IEA-HPDB25</t>
        </is>
      </c>
      <c r="R5" s="14" t="inlineStr">
        <is>
          <t>E</t>
        </is>
      </c>
      <c r="S5" s="14" t="inlineStr">
        <is>
          <t>Large blue H2 project (no FID by 2025).</t>
        </is>
      </c>
    </row>
    <row r="6" ht="52.8" customHeight="1" s="68">
      <c r="A6" s="14" t="inlineStr">
        <is>
          <t>TotalEnergies SE</t>
        </is>
      </c>
      <c r="B6" s="14" t="inlineStr">
        <is>
          <t>Gonfreville (Normandy electrolyser)</t>
        </is>
      </c>
      <c r="C6" s="14" t="inlineStr">
        <is>
          <t>France</t>
        </is>
      </c>
      <c r="D6" s="14" t="inlineStr">
        <is>
          <t>Gonfreville (Le Havre)</t>
        </is>
      </c>
      <c r="E6" s="14" t="inlineStr">
        <is>
          <t>Air Liquide (build &amp; operate); TotalEnergies (offtake 50% + power supply)</t>
        </is>
      </c>
      <c r="F6" s="14" t="n">
        <v>200</v>
      </c>
      <c r="G6" s="14" t="inlineStr">
        <is>
          <t>PEM</t>
        </is>
      </c>
      <c r="H6" s="14" t="n">
        <v>10</v>
      </c>
      <c r="I6" s="14" t="n">
        <v>250</v>
      </c>
      <c r="J6" s="14" t="n"/>
      <c r="K6" s="14" t="inlineStr">
        <is>
          <t>IPCEI Hy2Use / national support</t>
        </is>
      </c>
      <c r="L6" s="14" t="n">
        <v>2023</v>
      </c>
      <c r="M6" s="14" t="n">
        <v>2024</v>
      </c>
      <c r="N6" s="14" t="n">
        <v>2026</v>
      </c>
      <c r="O6" s="14" t="inlineStr">
        <is>
          <t>Under Construction</t>
        </is>
      </c>
      <c r="P6" s="14" t="inlineStr">
        <is>
          <t>Gonfreville refinery (RFNBO + low-carbon, both routes)</t>
        </is>
      </c>
      <c r="Q6" s="14" t="inlineStr">
        <is>
          <t>S-TTE-SC24; S-IEA-HPDB25</t>
        </is>
      </c>
      <c r="R6" s="14" t="inlineStr">
        <is>
          <t>A</t>
        </is>
      </c>
      <c r="S6" s="14" t="inlineStr">
        <is>
          <t>10 kt/y green + up to 5 kt/y low-carbon H2; TotalEnergies supplies 700 GWh/y renewable to Air Liquide for 100 MW share.</t>
        </is>
      </c>
    </row>
    <row r="7" ht="39.6" customHeight="1" s="68">
      <c r="A7" s="14" t="inlineStr">
        <is>
          <t>TotalEnergies SE</t>
        </is>
      </c>
      <c r="B7" s="14" t="inlineStr">
        <is>
          <t>Masshylia (La Mède) Phase 1</t>
        </is>
      </c>
      <c r="C7" s="14" t="inlineStr">
        <is>
          <t>France</t>
        </is>
      </c>
      <c r="D7" s="14" t="inlineStr">
        <is>
          <t>La Mède biorefinery</t>
        </is>
      </c>
      <c r="E7" s="14" t="inlineStr">
        <is>
          <t>TotalEnergies; ENGIE</t>
        </is>
      </c>
      <c r="F7" s="14" t="n">
        <v>20</v>
      </c>
      <c r="G7" s="14" t="inlineStr">
        <is>
          <t>PEM</t>
        </is>
      </c>
      <c r="H7" s="14" t="n">
        <v>3.4</v>
      </c>
      <c r="I7" s="14" t="n"/>
      <c r="J7" s="14" t="n"/>
      <c r="K7" s="14" t="inlineStr">
        <is>
          <t>CEF / France 2030</t>
        </is>
      </c>
      <c r="L7" s="14" t="n">
        <v>2021</v>
      </c>
      <c r="M7" s="14" t="n"/>
      <c r="N7" s="14" t="n">
        <v>2027</v>
      </c>
      <c r="O7" s="14" t="inlineStr">
        <is>
          <t>Feasibility</t>
        </is>
      </c>
      <c r="P7" s="14" t="inlineStr">
        <is>
          <t>La Mède biorefinery H2 for HVO/SAF</t>
        </is>
      </c>
      <c r="Q7" s="14" t="inlineStr">
        <is>
          <t>S-TTE-SC24; S-IEA-HPDB25</t>
        </is>
      </c>
      <c r="R7" s="14" t="inlineStr">
        <is>
          <t>D</t>
        </is>
      </c>
      <c r="S7" s="14" t="inlineStr">
        <is>
          <t>Delayed from original 2024 start.</t>
        </is>
      </c>
    </row>
    <row r="8" ht="39.6" customHeight="1" s="68">
      <c r="A8" s="14" t="inlineStr">
        <is>
          <t>TotalEnergies SE</t>
        </is>
      </c>
      <c r="B8" s="14" t="inlineStr">
        <is>
          <t>Leuna refinery — RWE 300 MW supply</t>
        </is>
      </c>
      <c r="C8" s="14" t="inlineStr">
        <is>
          <t>Germany</t>
        </is>
      </c>
      <c r="D8" s="14" t="inlineStr">
        <is>
          <t>Leuna</t>
        </is>
      </c>
      <c r="E8" s="14" t="inlineStr">
        <is>
          <t>TotalEnergies (offtake); RWE (build &amp; operate 300 MW Lingen)</t>
        </is>
      </c>
      <c r="F8" s="14" t="n">
        <v>300</v>
      </c>
      <c r="G8" s="14" t="inlineStr">
        <is>
          <t>PEM/AEL</t>
        </is>
      </c>
      <c r="H8" s="14" t="n">
        <v>30</v>
      </c>
      <c r="I8" s="14" t="n"/>
      <c r="J8" s="14" t="n"/>
      <c r="K8" s="14" t="inlineStr">
        <is>
          <t>IPCEI Hy2Use (RWE)</t>
        </is>
      </c>
      <c r="L8" s="14" t="n">
        <v>2025</v>
      </c>
      <c r="M8" s="14" t="n"/>
      <c r="N8" s="14" t="n">
        <v>2030</v>
      </c>
      <c r="O8" s="14" t="inlineStr">
        <is>
          <t>Feasibility</t>
        </is>
      </c>
      <c r="P8" s="14" t="inlineStr">
        <is>
          <t>Leuna refinery — 15-yr offtake from 2030; ~300 kt CO2/y avoided</t>
        </is>
      </c>
      <c r="Q8" s="14" t="inlineStr">
        <is>
          <t>S-TTE-SC24</t>
        </is>
      </c>
      <c r="R8" s="14" t="inlineStr">
        <is>
          <t>A</t>
        </is>
      </c>
      <c r="S8" s="14" t="inlineStr">
        <is>
          <t>Largest green H2 supply contract in Germany (Mar 2025). Local storage to be provided.</t>
        </is>
      </c>
    </row>
    <row r="9" ht="39.6" customHeight="1" s="68">
      <c r="A9" s="14" t="inlineStr">
        <is>
          <t>TotalEnergies SE</t>
        </is>
      </c>
      <c r="B9" s="14" t="inlineStr">
        <is>
          <t>Leuna refinery — VNG / Uniper Bad Lauchstädt 30 MW</t>
        </is>
      </c>
      <c r="C9" s="14" t="inlineStr">
        <is>
          <t>Germany</t>
        </is>
      </c>
      <c r="D9" s="14" t="inlineStr">
        <is>
          <t>Leuna</t>
        </is>
      </c>
      <c r="E9" s="14" t="inlineStr">
        <is>
          <t>TotalEnergies (offtake); VNG; Uniper</t>
        </is>
      </c>
      <c r="F9" s="14" t="n">
        <v>30</v>
      </c>
      <c r="G9" s="14" t="inlineStr">
        <is>
          <t>PEM</t>
        </is>
      </c>
      <c r="H9" s="14" t="n">
        <v>4</v>
      </c>
      <c r="I9" s="14" t="n"/>
      <c r="J9" s="14" t="n"/>
      <c r="K9" s="14" t="inlineStr">
        <is>
          <t>IPCEI Hy2Use / national</t>
        </is>
      </c>
      <c r="L9" s="14" t="n">
        <v>2023</v>
      </c>
      <c r="M9" s="14" t="n"/>
      <c r="N9" s="14" t="n">
        <v>2027</v>
      </c>
      <c r="O9" s="14" t="inlineStr">
        <is>
          <t>Feasibility</t>
        </is>
      </c>
      <c r="P9" s="14" t="inlineStr">
        <is>
          <t>Leuna refinery (~80 kt CO2/y avoided)</t>
        </is>
      </c>
      <c r="Q9" s="14" t="inlineStr">
        <is>
          <t>S-TTE-SC24</t>
        </is>
      </c>
      <c r="R9" s="14" t="inlineStr">
        <is>
          <t>D</t>
        </is>
      </c>
      <c r="S9" s="14" t="inlineStr">
        <is>
          <t>First Leuna green H2 contract; signed June 2023.</t>
        </is>
      </c>
    </row>
    <row r="10" ht="52.8" customHeight="1" s="68">
      <c r="A10" s="14" t="inlineStr">
        <is>
          <t>TotalEnergies SE</t>
        </is>
      </c>
      <c r="B10" s="14" t="inlineStr">
        <is>
          <t>Antwerp Air Liquide tolling (130/200 MW)</t>
        </is>
      </c>
      <c r="C10" s="14" t="inlineStr">
        <is>
          <t>Belgium</t>
        </is>
      </c>
      <c r="D10" s="14" t="inlineStr">
        <is>
          <t>Antwerp platform</t>
        </is>
      </c>
      <c r="E10" s="14" t="inlineStr">
        <is>
          <t>TotalEnergies (130 MW tolling); Air Liquide (200 MW electrolyser); OranjeWind PPA</t>
        </is>
      </c>
      <c r="F10" s="14" t="n">
        <v>130</v>
      </c>
      <c r="G10" s="14" t="inlineStr">
        <is>
          <t>PEM</t>
        </is>
      </c>
      <c r="H10" s="14" t="n">
        <v>15</v>
      </c>
      <c r="I10" s="14" t="n"/>
      <c r="J10" s="14" t="n"/>
      <c r="K10" s="14" t="inlineStr">
        <is>
          <t>IPCEI Hy2Use / Belgian support</t>
        </is>
      </c>
      <c r="L10" s="14" t="n">
        <v>2024</v>
      </c>
      <c r="M10" s="14" t="n"/>
      <c r="N10" s="14" t="n">
        <v>2027</v>
      </c>
      <c r="O10" s="14" t="inlineStr">
        <is>
          <t>Feasibility</t>
        </is>
      </c>
      <c r="P10" s="14" t="inlineStr">
        <is>
          <t>Antwerp refinery; ~150 kt CO2/y avoided; RED III compliance</t>
        </is>
      </c>
      <c r="Q10" s="14" t="inlineStr">
        <is>
          <t>S-TTE-FR24; S-CHM2025</t>
        </is>
      </c>
      <c r="R10" s="14" t="inlineStr">
        <is>
          <t>A</t>
        </is>
      </c>
      <c r="S10" s="14" t="inlineStr">
        <is>
          <t>OranjeWind offshore wind supplies renewable power upstream.</t>
        </is>
      </c>
    </row>
    <row r="11" ht="39.6" customHeight="1" s="68">
      <c r="A11" s="14" t="inlineStr">
        <is>
          <t>TotalEnergies SE</t>
        </is>
      </c>
      <c r="B11" s="14" t="inlineStr">
        <is>
          <t>Zeeland JV with Air Liquide (250 MW)</t>
        </is>
      </c>
      <c r="C11" s="14" t="inlineStr">
        <is>
          <t>Netherlands</t>
        </is>
      </c>
      <c r="D11" s="14" t="inlineStr">
        <is>
          <t>Zeeland refinery</t>
        </is>
      </c>
      <c r="E11" s="14" t="inlineStr">
        <is>
          <t>TotalEnergies; Air Liquide</t>
        </is>
      </c>
      <c r="F11" s="14" t="n">
        <v>250</v>
      </c>
      <c r="G11" s="14" t="inlineStr">
        <is>
          <t>PEM</t>
        </is>
      </c>
      <c r="H11" s="14" t="n">
        <v>37.5</v>
      </c>
      <c r="I11" s="14" t="n"/>
      <c r="J11" s="14" t="n"/>
      <c r="K11" s="14" t="inlineStr">
        <is>
          <t>IPCEI Hy2Use</t>
        </is>
      </c>
      <c r="L11" s="14" t="n">
        <v>2024</v>
      </c>
      <c r="M11" s="14" t="n"/>
      <c r="N11" s="14" t="n">
        <v>2029</v>
      </c>
      <c r="O11" s="14" t="inlineStr">
        <is>
          <t>Feasibility</t>
        </is>
      </c>
      <c r="P11" s="14" t="inlineStr">
        <is>
          <t>Zeeland refinery feedstock</t>
        </is>
      </c>
      <c r="Q11" s="14" t="inlineStr">
        <is>
          <t>S-IEA-HPDB25</t>
        </is>
      </c>
      <c r="R11" s="14" t="inlineStr">
        <is>
          <t>D</t>
        </is>
      </c>
      <c r="S11" s="14" t="inlineStr">
        <is>
          <t>Announced as JV under feasibility; Zeeland is TotalEnergies/Lukoil (153 kbpd).</t>
        </is>
      </c>
    </row>
    <row r="12" ht="52.8" customHeight="1" s="68">
      <c r="A12" s="14" t="inlineStr">
        <is>
          <t>bp plc</t>
        </is>
      </c>
      <c r="B12" s="14" t="inlineStr">
        <is>
          <t>Lingen Green Hydrogen (LGH2) Phase 1</t>
        </is>
      </c>
      <c r="C12" s="14" t="inlineStr">
        <is>
          <t>Germany</t>
        </is>
      </c>
      <c r="D12" s="14" t="inlineStr">
        <is>
          <t>Lingen refinery (Emsland)</t>
        </is>
      </c>
      <c r="E12" s="14" t="inlineStr">
        <is>
          <t>bp (100%); Cummins/Accelera (electrolyser); Hydrogen Core Network (TenneT)</t>
        </is>
      </c>
      <c r="F12" s="14" t="n">
        <v>100</v>
      </c>
      <c r="G12" s="14" t="inlineStr">
        <is>
          <t>PEM</t>
        </is>
      </c>
      <c r="H12" s="14" t="n">
        <v>11</v>
      </c>
      <c r="I12" s="14" t="n"/>
      <c r="J12" s="14" t="n"/>
      <c r="K12" s="14" t="inlineStr">
        <is>
          <t>IPCEI Hy2Use</t>
        </is>
      </c>
      <c r="L12" s="14" t="n">
        <v>2022</v>
      </c>
      <c r="M12" s="14" t="n">
        <v>2024</v>
      </c>
      <c r="N12" s="14" t="n">
        <v>2027</v>
      </c>
      <c r="O12" s="14" t="inlineStr">
        <is>
          <t>FID/Construction</t>
        </is>
      </c>
      <c r="P12" s="14" t="inlineStr">
        <is>
          <t>Lingen refinery; connection to German H2 core network</t>
        </is>
      </c>
      <c r="Q12" s="14" t="inlineStr">
        <is>
          <t>S-BP-AR24; S-CHP-IPCEI; S-IEA-HPDB25</t>
        </is>
      </c>
      <c r="R12" s="14" t="inlineStr">
        <is>
          <t>A</t>
        </is>
      </c>
      <c r="S12" s="14" t="inlineStr">
        <is>
          <t>FID Dec 2024; bp’s first large fully-owned electrolyser. 11 kt/y green H2.</t>
        </is>
      </c>
    </row>
    <row r="13" ht="26.4" customHeight="1" s="68">
      <c r="A13" s="14" t="inlineStr">
        <is>
          <t>bp plc</t>
        </is>
      </c>
      <c r="B13" s="14" t="inlineStr">
        <is>
          <t>Lingen Green Hydrogen Phase 2</t>
        </is>
      </c>
      <c r="C13" s="14" t="inlineStr">
        <is>
          <t>Germany</t>
        </is>
      </c>
      <c r="D13" s="14" t="inlineStr">
        <is>
          <t>Lingen refinery</t>
        </is>
      </c>
      <c r="E13" s="14" t="inlineStr">
        <is>
          <t>bp</t>
        </is>
      </c>
      <c r="F13" s="14" t="n">
        <v>400</v>
      </c>
      <c r="G13" s="14" t="inlineStr">
        <is>
          <t>PEM</t>
        </is>
      </c>
      <c r="H13" s="14" t="n">
        <v>69.3</v>
      </c>
      <c r="I13" s="14" t="n"/>
      <c r="J13" s="14" t="n"/>
      <c r="K13" s="14" t="n"/>
      <c r="L13" s="14" t="n">
        <v>2023</v>
      </c>
      <c r="M13" s="14" t="n"/>
      <c r="N13" s="14" t="n"/>
      <c r="O13" s="14" t="inlineStr">
        <is>
          <t>Concept</t>
        </is>
      </c>
      <c r="P13" s="14" t="inlineStr">
        <is>
          <t>Lingen refinery &amp; Hydrogen Core Network</t>
        </is>
      </c>
      <c r="Q13" s="14" t="inlineStr">
        <is>
          <t>S-IEA-HPDB25</t>
        </is>
      </c>
      <c r="R13" s="14" t="inlineStr">
        <is>
          <t>D</t>
        </is>
      </c>
      <c r="S13" s="14" t="inlineStr">
        <is>
          <t>Phase-2 announcement; no FID yet.</t>
        </is>
      </c>
    </row>
    <row r="14" ht="39.6" customHeight="1" s="68">
      <c r="A14" s="14" t="inlineStr">
        <is>
          <t>bp plc</t>
        </is>
      </c>
      <c r="B14" s="14" t="inlineStr">
        <is>
          <t>HyVal Phase 1 (Castellón Green Hydrogen)</t>
        </is>
      </c>
      <c r="C14" s="14" t="inlineStr">
        <is>
          <t>Spain</t>
        </is>
      </c>
      <c r="D14" s="14" t="inlineStr">
        <is>
          <t>Castellón refinery</t>
        </is>
      </c>
      <c r="E14" s="14" t="inlineStr">
        <is>
          <t>bp (50%); Iberdrola España (50%); Plug Power (electrolyser)</t>
        </is>
      </c>
      <c r="F14" s="14" t="n">
        <v>25</v>
      </c>
      <c r="G14" s="14" t="inlineStr">
        <is>
          <t>PEM</t>
        </is>
      </c>
      <c r="H14" s="14" t="n">
        <v>2.8</v>
      </c>
      <c r="I14" s="14" t="n">
        <v>70</v>
      </c>
      <c r="J14" s="14" t="n">
        <v>15</v>
      </c>
      <c r="K14" s="14" t="inlineStr">
        <is>
          <t>Spanish PERTE / NextGenerationEU</t>
        </is>
      </c>
      <c r="L14" s="14" t="n">
        <v>2023</v>
      </c>
      <c r="M14" s="14" t="n">
        <v>2024</v>
      </c>
      <c r="N14" s="14" t="n">
        <v>2026</v>
      </c>
      <c r="O14" s="14" t="inlineStr">
        <is>
          <t>Under Construction</t>
        </is>
      </c>
      <c r="P14" s="14" t="inlineStr">
        <is>
          <t>Castellón refinery (RFNBO; -23 kt CO2/y)</t>
        </is>
      </c>
      <c r="Q14" s="14" t="inlineStr">
        <is>
          <t>S-BP-AR24; S-IEA-HPDB25</t>
        </is>
      </c>
      <c r="R14" s="14" t="inlineStr">
        <is>
          <t>A</t>
        </is>
      </c>
      <c r="S14" s="14" t="inlineStr">
        <is>
          <t>FID July 2024; construction 90% complete (Mar 2026); supplied by Iberdrola PPA 200 GWh/y.</t>
        </is>
      </c>
    </row>
    <row r="15" ht="39.6" customHeight="1" s="68">
      <c r="A15" s="14" t="inlineStr">
        <is>
          <t>bp plc</t>
        </is>
      </c>
      <c r="B15" s="14" t="inlineStr">
        <is>
          <t>HyVal Phase 2</t>
        </is>
      </c>
      <c r="C15" s="14" t="inlineStr">
        <is>
          <t>Spain</t>
        </is>
      </c>
      <c r="D15" s="14" t="inlineStr">
        <is>
          <t>Castellón refinery</t>
        </is>
      </c>
      <c r="E15" s="14" t="inlineStr">
        <is>
          <t>bp; partners TBC</t>
        </is>
      </c>
      <c r="F15" s="14" t="n">
        <v>200</v>
      </c>
      <c r="G15" s="14" t="inlineStr">
        <is>
          <t>PEM</t>
        </is>
      </c>
      <c r="H15" s="14" t="n">
        <v>31.2</v>
      </c>
      <c r="I15" s="14" t="n"/>
      <c r="J15" s="14" t="n"/>
      <c r="K15" s="14" t="n"/>
      <c r="L15" s="14" t="n">
        <v>2023</v>
      </c>
      <c r="M15" s="14" t="n"/>
      <c r="N15" s="14" t="n">
        <v>2027</v>
      </c>
      <c r="O15" s="14" t="inlineStr">
        <is>
          <t>Feasibility</t>
        </is>
      </c>
      <c r="P15" s="14" t="inlineStr">
        <is>
          <t>Castellón refinery + SAF feedstock</t>
        </is>
      </c>
      <c r="Q15" s="14" t="inlineStr">
        <is>
          <t>S-BP-AR24; S-IEA-HPDB25</t>
        </is>
      </c>
      <c r="R15" s="14" t="inlineStr">
        <is>
          <t>D</t>
        </is>
      </c>
      <c r="S15" s="14" t="inlineStr">
        <is>
          <t>Targets 31.2 kt/y green H2; total HyVal ambition 2 GW by 2030.</t>
        </is>
      </c>
    </row>
    <row r="16" ht="26.4" customHeight="1" s="68">
      <c r="A16" s="14" t="inlineStr">
        <is>
          <t>bp plc</t>
        </is>
      </c>
      <c r="B16" s="14" t="inlineStr">
        <is>
          <t>HyVal full programme (2 GW vision)</t>
        </is>
      </c>
      <c r="C16" s="14" t="inlineStr">
        <is>
          <t>Spain</t>
        </is>
      </c>
      <c r="D16" s="14" t="inlineStr">
        <is>
          <t>Castellón refinery + Valencia cluster</t>
        </is>
      </c>
      <c r="E16" s="14" t="inlineStr">
        <is>
          <t>bp + Valencian Government partners</t>
        </is>
      </c>
      <c r="F16" s="14" t="n">
        <v>2000</v>
      </c>
      <c r="G16" s="14" t="inlineStr">
        <is>
          <t>Mixed</t>
        </is>
      </c>
      <c r="H16" s="14" t="n">
        <v>342</v>
      </c>
      <c r="I16" s="14" t="n">
        <v>2000</v>
      </c>
      <c r="J16" s="14" t="n"/>
      <c r="K16" s="14" t="inlineStr">
        <is>
          <t>TBD</t>
        </is>
      </c>
      <c r="L16" s="14" t="n">
        <v>2023</v>
      </c>
      <c r="M16" s="14" t="n"/>
      <c r="N16" s="14" t="n">
        <v>2030</v>
      </c>
      <c r="O16" s="14" t="inlineStr">
        <is>
          <t>Concept</t>
        </is>
      </c>
      <c r="P16" s="14" t="inlineStr">
        <is>
          <t>Refinery + regional + H2Med export corridor</t>
        </is>
      </c>
      <c r="Q16" s="14" t="inlineStr">
        <is>
          <t>S-BP-AR24</t>
        </is>
      </c>
      <c r="R16" s="14" t="inlineStr">
        <is>
          <t>D</t>
        </is>
      </c>
      <c r="S16" s="14" t="inlineStr">
        <is>
          <t>CAPEX up to €2bn for full vision; published Feb 2023.</t>
        </is>
      </c>
    </row>
    <row r="17" ht="39.6" customHeight="1" s="68">
      <c r="A17" s="14" t="inlineStr">
        <is>
          <t>bp plc</t>
        </is>
      </c>
      <c r="B17" s="14" t="inlineStr">
        <is>
          <t>H2ercules</t>
        </is>
      </c>
      <c r="C17" s="14" t="inlineStr">
        <is>
          <t>Germany</t>
        </is>
      </c>
      <c r="D17" s="14" t="inlineStr">
        <is>
          <t>Northern Germany cluster</t>
        </is>
      </c>
      <c r="E17" s="14" t="inlineStr">
        <is>
          <t>bp; OGE; Vonovia (offtake studies)</t>
        </is>
      </c>
      <c r="F17" s="14" t="n">
        <v>1000</v>
      </c>
      <c r="G17" s="14" t="inlineStr">
        <is>
          <t>AEL/PEM</t>
        </is>
      </c>
      <c r="H17" s="14" t="n">
        <v>173</v>
      </c>
      <c r="I17" s="14" t="n"/>
      <c r="J17" s="14" t="n"/>
      <c r="K17" s="14" t="n"/>
      <c r="L17" s="14" t="n">
        <v>2022</v>
      </c>
      <c r="M17" s="14" t="n"/>
      <c r="N17" s="14" t="n"/>
      <c r="O17" s="14" t="inlineStr">
        <is>
          <t>Concept</t>
        </is>
      </c>
      <c r="P17" s="14" t="inlineStr">
        <is>
          <t>Industrial corridor (NRW); offtake to multiple sites</t>
        </is>
      </c>
      <c r="Q17" s="14" t="inlineStr">
        <is>
          <t>S-IEA-HPDB25</t>
        </is>
      </c>
      <c r="R17" s="14" t="inlineStr">
        <is>
          <t>E</t>
        </is>
      </c>
      <c r="S17" s="14" t="inlineStr">
        <is>
          <t>Industrial-scale concept; design phase only.</t>
        </is>
      </c>
    </row>
    <row r="18" ht="39.6" customHeight="1" s="68">
      <c r="A18" s="14" t="inlineStr">
        <is>
          <t>Eni S.p.A.</t>
        </is>
      </c>
      <c r="B18" s="14" t="inlineStr">
        <is>
          <t>Eni Sannazzaro Waste-to-MeOH/H2</t>
        </is>
      </c>
      <c r="C18" s="14" t="inlineStr">
        <is>
          <t>Italy</t>
        </is>
      </c>
      <c r="D18" s="14" t="inlineStr">
        <is>
          <t>Sannazzaro refinery</t>
        </is>
      </c>
      <c r="E18" s="14" t="inlineStr">
        <is>
          <t>Eni; NextChem (Maire)</t>
        </is>
      </c>
      <c r="F18" s="14" t="n">
        <v>10.4</v>
      </c>
      <c r="G18" s="14" t="inlineStr">
        <is>
          <t>Pyrolysis/gasification</t>
        </is>
      </c>
      <c r="H18" s="14" t="n">
        <v>1.5</v>
      </c>
      <c r="I18" s="14" t="n"/>
      <c r="J18" s="14" t="n"/>
      <c r="K18" s="14" t="inlineStr">
        <is>
          <t>IPCEI Hy2Use</t>
        </is>
      </c>
      <c r="L18" s="14" t="n">
        <v>2023</v>
      </c>
      <c r="M18" s="14" t="n"/>
      <c r="N18" s="14" t="n">
        <v>2029</v>
      </c>
      <c r="O18" s="14" t="inlineStr">
        <is>
          <t>Feasibility</t>
        </is>
      </c>
      <c r="P18" s="14" t="inlineStr">
        <is>
          <t>Sannazzaro refinery + methanol production</t>
        </is>
      </c>
      <c r="Q18" s="14" t="inlineStr">
        <is>
          <t>S-ENI-AR24; S-IEA-HPDB25</t>
        </is>
      </c>
      <c r="R18" s="14" t="inlineStr">
        <is>
          <t>D</t>
        </is>
      </c>
      <c r="S18" s="14" t="inlineStr">
        <is>
          <t>Waste-to-H2/MeOH technology platform.</t>
        </is>
      </c>
    </row>
    <row r="19" ht="26.4" customHeight="1" s="68">
      <c r="A19" s="14" t="inlineStr">
        <is>
          <t>Eni S.p.A.</t>
        </is>
      </c>
      <c r="B19" s="14" t="inlineStr">
        <is>
          <t>Tarragona Green Chemical Complex Phase 1</t>
        </is>
      </c>
      <c r="C19" s="14" t="inlineStr">
        <is>
          <t>Spain</t>
        </is>
      </c>
      <c r="D19" s="14" t="inlineStr">
        <is>
          <t>Tarragona</t>
        </is>
      </c>
      <c r="E19" s="14" t="inlineStr">
        <is>
          <t>Eni (Versalis)</t>
        </is>
      </c>
      <c r="F19" s="14" t="n">
        <v>5</v>
      </c>
      <c r="G19" s="14" t="inlineStr">
        <is>
          <t>PEM</t>
        </is>
      </c>
      <c r="H19" s="14" t="n">
        <v>0.87</v>
      </c>
      <c r="I19" s="14" t="n"/>
      <c r="J19" s="14" t="n"/>
      <c r="K19" s="14" t="n"/>
      <c r="L19" s="14" t="n">
        <v>2024</v>
      </c>
      <c r="M19" s="14" t="n"/>
      <c r="N19" s="14" t="n"/>
      <c r="O19" s="14" t="inlineStr">
        <is>
          <t>Concept</t>
        </is>
      </c>
      <c r="P19" s="14" t="inlineStr">
        <is>
          <t>Versalis petrochemical complex</t>
        </is>
      </c>
      <c r="Q19" s="14" t="inlineStr">
        <is>
          <t>S-IEA-HPDB25</t>
        </is>
      </c>
      <c r="R19" s="14" t="inlineStr">
        <is>
          <t>D</t>
        </is>
      </c>
      <c r="S19" s="14" t="inlineStr">
        <is>
          <t>3 phases planned (5/45/20 MW).</t>
        </is>
      </c>
    </row>
    <row r="20" ht="39.6" customHeight="1" s="68">
      <c r="A20" s="14" t="inlineStr">
        <is>
          <t>Eni S.p.A.</t>
        </is>
      </c>
      <c r="B20" s="14" t="inlineStr">
        <is>
          <t>ENI Venice bio-refinery Porto Marghera (Ravenna phase 2)</t>
        </is>
      </c>
      <c r="C20" s="14" t="inlineStr">
        <is>
          <t>Italy</t>
        </is>
      </c>
      <c r="D20" s="14" t="inlineStr">
        <is>
          <t>Porto Marghera</t>
        </is>
      </c>
      <c r="E20" s="14" t="inlineStr">
        <is>
          <t>Eni / Enilive</t>
        </is>
      </c>
      <c r="F20" s="14" t="n"/>
      <c r="G20" s="14" t="inlineStr">
        <is>
          <t>Reforming</t>
        </is>
      </c>
      <c r="H20" s="14" t="n">
        <v>23.4</v>
      </c>
      <c r="I20" s="14" t="n"/>
      <c r="J20" s="14" t="n"/>
      <c r="K20" s="14" t="n"/>
      <c r="L20" s="14" t="n">
        <v>2023</v>
      </c>
      <c r="M20" s="14" t="n"/>
      <c r="N20" s="14" t="n">
        <v>2030</v>
      </c>
      <c r="O20" s="14" t="inlineStr">
        <is>
          <t>Feasibility</t>
        </is>
      </c>
      <c r="P20" s="14" t="inlineStr">
        <is>
          <t>Venice biorefinery H2 demand</t>
        </is>
      </c>
      <c r="Q20" s="14" t="inlineStr">
        <is>
          <t>S-IEA-HPDB25</t>
        </is>
      </c>
      <c r="R20" s="14" t="inlineStr">
        <is>
          <t>D</t>
        </is>
      </c>
      <c r="S20" s="14" t="inlineStr">
        <is>
          <t>Reforming-based H2 supply for HVO/SAF feedstock.</t>
        </is>
      </c>
    </row>
    <row r="21" ht="26.4" customHeight="1" s="68">
      <c r="A21" s="14" t="inlineStr">
        <is>
          <t>Eni S.p.A.</t>
        </is>
      </c>
      <c r="B21" s="14" t="inlineStr">
        <is>
          <t>Hellenic Hydrogen JV — Western Macedonia</t>
        </is>
      </c>
      <c r="C21" s="14" t="inlineStr">
        <is>
          <t>Greece</t>
        </is>
      </c>
      <c r="D21" s="14" t="inlineStr">
        <is>
          <t>Western Macedonia</t>
        </is>
      </c>
      <c r="E21" s="14" t="inlineStr">
        <is>
          <t>Eni Plenitude; HELLENiQ ENERGY</t>
        </is>
      </c>
      <c r="F21" s="14" t="n">
        <v>100</v>
      </c>
      <c r="G21" s="14" t="inlineStr">
        <is>
          <t>PEM</t>
        </is>
      </c>
      <c r="H21" s="14" t="n">
        <v>17.3</v>
      </c>
      <c r="I21" s="14" t="n"/>
      <c r="J21" s="14" t="n"/>
      <c r="K21" s="14" t="inlineStr">
        <is>
          <t>EU support TBD</t>
        </is>
      </c>
      <c r="L21" s="14" t="n">
        <v>2024</v>
      </c>
      <c r="M21" s="14" t="n"/>
      <c r="N21" s="14" t="n">
        <v>2027</v>
      </c>
      <c r="O21" s="14" t="inlineStr">
        <is>
          <t>Feasibility</t>
        </is>
      </c>
      <c r="P21" s="14" t="inlineStr">
        <is>
          <t>Greek refining + chemicals</t>
        </is>
      </c>
      <c r="Q21" s="14" t="inlineStr">
        <is>
          <t>S-IEA-HPDB25</t>
        </is>
      </c>
      <c r="R21" s="14" t="inlineStr">
        <is>
          <t>D</t>
        </is>
      </c>
      <c r="S21" s="14" t="inlineStr">
        <is>
          <t>Joint venture announced 2024.</t>
        </is>
      </c>
    </row>
    <row r="22" ht="26.4" customHeight="1" s="68">
      <c r="A22" s="14" t="inlineStr">
        <is>
          <t>Eni S.p.A.</t>
        </is>
      </c>
      <c r="B22" s="14" t="inlineStr">
        <is>
          <t>Zenid Initiative (e-SAF demo)</t>
        </is>
      </c>
      <c r="C22" s="14" t="inlineStr">
        <is>
          <t>Netherlands</t>
        </is>
      </c>
      <c r="D22" s="14" t="inlineStr">
        <is>
          <t>Schiphol cluster</t>
        </is>
      </c>
      <c r="E22" s="14" t="inlineStr">
        <is>
          <t>Eni; SkyNRG; Schiphol; Vattenfall; Uniper</t>
        </is>
      </c>
      <c r="F22" s="14" t="n">
        <v>1.9</v>
      </c>
      <c r="G22" s="14" t="inlineStr">
        <is>
          <t>PEM</t>
        </is>
      </c>
      <c r="H22" s="14" t="n">
        <v>0.32</v>
      </c>
      <c r="I22" s="14" t="n"/>
      <c r="J22" s="14" t="n"/>
      <c r="K22" s="14" t="inlineStr">
        <is>
          <t>Mission Innovation</t>
        </is>
      </c>
      <c r="L22" s="14" t="n">
        <v>2022</v>
      </c>
      <c r="M22" s="14" t="n"/>
      <c r="N22" s="14" t="n">
        <v>2026</v>
      </c>
      <c r="O22" s="14" t="inlineStr">
        <is>
          <t>Demonstration</t>
        </is>
      </c>
      <c r="P22" s="14" t="inlineStr">
        <is>
          <t>Demonstration e-SAF for aviation</t>
        </is>
      </c>
      <c r="Q22" s="14" t="inlineStr">
        <is>
          <t>S-IEA-HPDB25</t>
        </is>
      </c>
      <c r="R22" s="14" t="inlineStr">
        <is>
          <t>D</t>
        </is>
      </c>
      <c r="S22" s="14" t="inlineStr">
        <is>
          <t>Small-scale demonstrator.</t>
        </is>
      </c>
    </row>
    <row r="23" ht="39.6" customHeight="1" s="68">
      <c r="A23" s="14" t="inlineStr">
        <is>
          <t>Repsol S.A.</t>
        </is>
      </c>
      <c r="B23" s="14" t="inlineStr">
        <is>
          <t>Petronor Abanto Technology Park (Phase 1)</t>
        </is>
      </c>
      <c r="C23" s="14" t="inlineStr">
        <is>
          <t>Spain</t>
        </is>
      </c>
      <c r="D23" s="14" t="inlineStr">
        <is>
          <t>Petronor (Muskiz, Bilbao)</t>
        </is>
      </c>
      <c r="E23" s="14" t="inlineStr">
        <is>
          <t>Repsol/Petronor; Sener (engineering); Enagás (H2 infrastructure)</t>
        </is>
      </c>
      <c r="F23" s="14" t="n">
        <v>2.5</v>
      </c>
      <c r="G23" s="14" t="inlineStr">
        <is>
          <t>PEM</t>
        </is>
      </c>
      <c r="H23" s="14" t="n">
        <v>0.35</v>
      </c>
      <c r="I23" s="14" t="n"/>
      <c r="J23" s="14" t="n"/>
      <c r="K23" s="14" t="inlineStr">
        <is>
          <t>Basque government / IDAE</t>
        </is>
      </c>
      <c r="L23" s="14" t="n">
        <v>2021</v>
      </c>
      <c r="M23" s="14" t="n">
        <v>2022</v>
      </c>
      <c r="N23" s="14" t="n">
        <v>2023</v>
      </c>
      <c r="O23" s="14" t="inlineStr">
        <is>
          <t>Operational</t>
        </is>
      </c>
      <c r="P23" s="14" t="inlineStr">
        <is>
          <t>Petronor refinery + Abanto Technology Park</t>
        </is>
      </c>
      <c r="Q23" s="14" t="inlineStr">
        <is>
          <t>S-REPSOL-AR24; S-IEA-HPDB25</t>
        </is>
      </c>
      <c r="R23" s="14" t="inlineStr">
        <is>
          <t>A</t>
        </is>
      </c>
      <c r="S23" s="14" t="inlineStr">
        <is>
          <t>First Repsol electrolyser operational since Q3 2023; 350 t/y.</t>
        </is>
      </c>
    </row>
    <row r="24" ht="39.6" customHeight="1" s="68">
      <c r="A24" s="14" t="inlineStr">
        <is>
          <t>Repsol S.A.</t>
        </is>
      </c>
      <c r="B24" s="14" t="inlineStr">
        <is>
          <t>Repsol Bilbao port synfuels (10 MW)</t>
        </is>
      </c>
      <c r="C24" s="14" t="inlineStr">
        <is>
          <t>Spain</t>
        </is>
      </c>
      <c r="D24" s="14" t="inlineStr">
        <is>
          <t>Petronor / Port of Bilbao</t>
        </is>
      </c>
      <c r="E24" s="14" t="inlineStr">
        <is>
          <t>Repsol; Saudi Aramco</t>
        </is>
      </c>
      <c r="F24" s="14" t="n">
        <v>10</v>
      </c>
      <c r="G24" s="14" t="inlineStr">
        <is>
          <t>PEM</t>
        </is>
      </c>
      <c r="H24" s="14" t="n">
        <v>1.7</v>
      </c>
      <c r="I24" s="14" t="n"/>
      <c r="J24" s="14" t="n"/>
      <c r="K24" s="14" t="inlineStr">
        <is>
          <t>Basque + national</t>
        </is>
      </c>
      <c r="L24" s="14" t="n">
        <v>2022</v>
      </c>
      <c r="M24" s="14" t="n">
        <v>2023</v>
      </c>
      <c r="N24" s="14" t="n">
        <v>2026</v>
      </c>
      <c r="O24" s="14" t="inlineStr">
        <is>
          <t>FID/Construction</t>
        </is>
      </c>
      <c r="P24" s="14" t="inlineStr">
        <is>
          <t>e-fuels demo plant (Aramco/Repsol)</t>
        </is>
      </c>
      <c r="Q24" s="14" t="inlineStr">
        <is>
          <t>S-REPSOL-AR24; S-IEA-HPDB25</t>
        </is>
      </c>
      <c r="R24" s="14" t="inlineStr">
        <is>
          <t>A</t>
        </is>
      </c>
      <c r="S24" s="14" t="inlineStr">
        <is>
          <t>Under construction since 2024.</t>
        </is>
      </c>
    </row>
    <row r="25" ht="39.6" customHeight="1" s="68">
      <c r="A25" s="14" t="inlineStr">
        <is>
          <t>Repsol S.A.</t>
        </is>
      </c>
      <c r="B25" s="14" t="inlineStr">
        <is>
          <t>Repsol Cartagena Phase 1 (100 MW)</t>
        </is>
      </c>
      <c r="C25" s="14" t="inlineStr">
        <is>
          <t>Spain</t>
        </is>
      </c>
      <c r="D25" s="14" t="inlineStr">
        <is>
          <t>Cartagena refinery</t>
        </is>
      </c>
      <c r="E25" s="14" t="inlineStr">
        <is>
          <t>Repsol</t>
        </is>
      </c>
      <c r="F25" s="14" t="n">
        <v>100</v>
      </c>
      <c r="G25" s="14" t="inlineStr">
        <is>
          <t>PEM/AEL</t>
        </is>
      </c>
      <c r="H25" s="14" t="n">
        <v>15</v>
      </c>
      <c r="I25" s="14" t="n">
        <v>292</v>
      </c>
      <c r="J25" s="14" t="n">
        <v>160</v>
      </c>
      <c r="K25" s="14" t="inlineStr">
        <is>
          <t>IPCEI Hy2Use / NextGenerationEU (Spanish PRTR)</t>
        </is>
      </c>
      <c r="L25" s="14" t="n">
        <v>2022</v>
      </c>
      <c r="M25" s="14" t="n">
        <v>2025</v>
      </c>
      <c r="N25" s="14" t="n">
        <v>2029</v>
      </c>
      <c r="O25" s="14" t="inlineStr">
        <is>
          <t>FID/Construction</t>
        </is>
      </c>
      <c r="P25" s="14" t="inlineStr">
        <is>
          <t>Cartagena refinery</t>
        </is>
      </c>
      <c r="Q25" s="14" t="inlineStr">
        <is>
          <t>S-REPSOL-AR24; S-IEA-HPDB25</t>
        </is>
      </c>
      <c r="R25" s="14" t="inlineStr">
        <is>
          <t>A</t>
        </is>
      </c>
      <c r="S25" s="14" t="inlineStr">
        <is>
          <t>FID Sept 2025; €292m capex; €160m public support; IPCEI recognised.</t>
        </is>
      </c>
    </row>
    <row r="26" ht="39.6" customHeight="1" s="68">
      <c r="A26" s="14" t="inlineStr">
        <is>
          <t>Repsol S.A.</t>
        </is>
      </c>
      <c r="B26" s="14" t="inlineStr">
        <is>
          <t>Repsol Petronor 100 MW (large electrolyser)</t>
        </is>
      </c>
      <c r="C26" s="14" t="inlineStr">
        <is>
          <t>Spain</t>
        </is>
      </c>
      <c r="D26" s="14" t="inlineStr">
        <is>
          <t>Petronor (Muskiz)</t>
        </is>
      </c>
      <c r="E26" s="14" t="inlineStr">
        <is>
          <t>Repsol/Petronor; Basque Government</t>
        </is>
      </c>
      <c r="F26" s="14" t="n">
        <v>100</v>
      </c>
      <c r="G26" s="14" t="inlineStr">
        <is>
          <t>PEM/AEL</t>
        </is>
      </c>
      <c r="H26" s="14" t="n">
        <v>15</v>
      </c>
      <c r="I26" s="14" t="n">
        <v>292</v>
      </c>
      <c r="J26" s="14" t="n">
        <v>160</v>
      </c>
      <c r="K26" s="14" t="inlineStr">
        <is>
          <t>IPCEI Hy2Use / NextGenerationEU (Spanish PRTR)</t>
        </is>
      </c>
      <c r="L26" s="14" t="n">
        <v>2022</v>
      </c>
      <c r="M26" s="14" t="n">
        <v>2026</v>
      </c>
      <c r="N26" s="14" t="n">
        <v>2029</v>
      </c>
      <c r="O26" s="14" t="inlineStr">
        <is>
          <t>Feasibility</t>
        </is>
      </c>
      <c r="P26" s="14" t="inlineStr">
        <is>
          <t>Petronor refinery + local industry (-167 kt CO2/y)</t>
        </is>
      </c>
      <c r="Q26" s="14" t="inlineStr">
        <is>
          <t>S-REPSOL-AR24; S-IEA-HPDB25</t>
        </is>
      </c>
      <c r="R26" s="14" t="inlineStr">
        <is>
          <t>A</t>
        </is>
      </c>
      <c r="S26" s="14" t="inlineStr">
        <is>
          <t>Second Repsol large electrolyser announced Jan 2026; IPCEI; €292m total.</t>
        </is>
      </c>
    </row>
    <row r="27" ht="39.6" customHeight="1" s="68">
      <c r="A27" s="14" t="inlineStr">
        <is>
          <t>Repsol S.A.</t>
        </is>
      </c>
      <c r="B27" s="14" t="inlineStr">
        <is>
          <t>Repsol Tarragona (150 MW)</t>
        </is>
      </c>
      <c r="C27" s="14" t="inlineStr">
        <is>
          <t>Spain</t>
        </is>
      </c>
      <c r="D27" s="14" t="inlineStr">
        <is>
          <t>Tarragona refinery &amp; petrochem</t>
        </is>
      </c>
      <c r="E27" s="14" t="inlineStr">
        <is>
          <t>Repsol</t>
        </is>
      </c>
      <c r="F27" s="14" t="n">
        <v>150</v>
      </c>
      <c r="G27" s="14" t="inlineStr">
        <is>
          <t>PEM/AEL</t>
        </is>
      </c>
      <c r="H27" s="14" t="n">
        <v>25.4</v>
      </c>
      <c r="I27" s="14" t="n"/>
      <c r="J27" s="14" t="n"/>
      <c r="K27" s="14" t="inlineStr">
        <is>
          <t>EU Innovation Fund (2024 award)</t>
        </is>
      </c>
      <c r="L27" s="14" t="n">
        <v>2022</v>
      </c>
      <c r="M27" s="14" t="n"/>
      <c r="N27" s="14" t="n">
        <v>2027</v>
      </c>
      <c r="O27" s="14" t="inlineStr">
        <is>
          <t>Feasibility</t>
        </is>
      </c>
      <c r="P27" s="14" t="inlineStr">
        <is>
          <t>Tarragona refinery + local industry</t>
        </is>
      </c>
      <c r="Q27" s="14" t="inlineStr">
        <is>
          <t>S-REPSOL-AR24; S-IEA-HPDB25</t>
        </is>
      </c>
      <c r="R27" s="14" t="inlineStr">
        <is>
          <t>A</t>
        </is>
      </c>
      <c r="S27" s="14" t="inlineStr">
        <is>
          <t>IF24 grant winner.</t>
        </is>
      </c>
    </row>
    <row r="28" ht="52.8" customHeight="1" s="68">
      <c r="A28" s="14" t="inlineStr">
        <is>
          <t>Repsol S.A.</t>
        </is>
      </c>
      <c r="B28" s="14" t="inlineStr">
        <is>
          <t>Repsol Puertollano biohydrogen</t>
        </is>
      </c>
      <c r="C28" s="14" t="inlineStr">
        <is>
          <t>Spain</t>
        </is>
      </c>
      <c r="D28" s="14" t="inlineStr">
        <is>
          <t>Puertollano refinery</t>
        </is>
      </c>
      <c r="E28" s="14" t="inlineStr">
        <is>
          <t>Repsol; biomass partners</t>
        </is>
      </c>
      <c r="F28" s="14" t="n"/>
      <c r="G28" s="14" t="inlineStr">
        <is>
          <t>Biomass gasification</t>
        </is>
      </c>
      <c r="H28" s="14" t="n"/>
      <c r="I28" s="14" t="n"/>
      <c r="J28" s="14" t="n"/>
      <c r="K28" s="14" t="inlineStr">
        <is>
          <t>EHB Round 1 winner</t>
        </is>
      </c>
      <c r="L28" s="14" t="n">
        <v>2022</v>
      </c>
      <c r="M28" s="14" t="n">
        <v>2024</v>
      </c>
      <c r="N28" s="14" t="n">
        <v>2026</v>
      </c>
      <c r="O28" s="14" t="inlineStr">
        <is>
          <t>FID/Construction</t>
        </is>
      </c>
      <c r="P28" s="14" t="inlineStr">
        <is>
          <t>Puertollano refinery</t>
        </is>
      </c>
      <c r="Q28" s="14" t="inlineStr">
        <is>
          <t>S-REPSOL-AR24; S-IEA-HPDB25; S-EHB-A1</t>
        </is>
      </c>
      <c r="R28" s="14" t="inlineStr">
        <is>
          <t>A</t>
        </is>
      </c>
      <c r="S28" s="14" t="inlineStr">
        <is>
          <t>European Hydrogen Bank first auction winner (April 2024).</t>
        </is>
      </c>
    </row>
    <row r="29" ht="39.6" customHeight="1" s="68">
      <c r="A29" s="14" t="inlineStr">
        <is>
          <t>Repsol S.A.</t>
        </is>
      </c>
      <c r="B29" s="14" t="inlineStr">
        <is>
          <t>Sines Repsol — H2Alba</t>
        </is>
      </c>
      <c r="C29" s="14" t="inlineStr">
        <is>
          <t>Portugal</t>
        </is>
      </c>
      <c r="D29" s="14" t="inlineStr">
        <is>
          <t>Sines</t>
        </is>
      </c>
      <c r="E29" s="14" t="inlineStr">
        <is>
          <t>Repsol; Galp partners</t>
        </is>
      </c>
      <c r="F29" s="14" t="n">
        <v>4</v>
      </c>
      <c r="G29" s="14" t="inlineStr">
        <is>
          <t>PEM</t>
        </is>
      </c>
      <c r="H29" s="14" t="n">
        <v>0.6</v>
      </c>
      <c r="I29" s="14" t="n"/>
      <c r="J29" s="14" t="n"/>
      <c r="K29" s="14" t="inlineStr">
        <is>
          <t>Portuguese PRR / EHB</t>
        </is>
      </c>
      <c r="L29" s="14" t="n">
        <v>2023</v>
      </c>
      <c r="M29" s="14" t="n">
        <v>2024</v>
      </c>
      <c r="N29" s="14" t="n">
        <v>2026</v>
      </c>
      <c r="O29" s="14" t="inlineStr">
        <is>
          <t>FID/Construction</t>
        </is>
      </c>
      <c r="P29" s="14" t="inlineStr">
        <is>
          <t>Sines complex</t>
        </is>
      </c>
      <c r="Q29" s="14" t="inlineStr">
        <is>
          <t>S-REPSOL-AR24; S-IEA-HPDB25</t>
        </is>
      </c>
      <c r="R29" s="14" t="inlineStr">
        <is>
          <t>A</t>
        </is>
      </c>
      <c r="S29" s="14" t="inlineStr">
        <is>
          <t>Small-scale plant under construction.</t>
        </is>
      </c>
    </row>
    <row r="30" ht="52.8" customHeight="1" s="68">
      <c r="A30" s="14" t="inlineStr">
        <is>
          <t>TotalEnergies SE</t>
        </is>
      </c>
      <c r="B30" s="14" t="inlineStr">
        <is>
          <t>GET H2 Nukleus (joint offtaker)</t>
        </is>
      </c>
      <c r="C30" s="14" t="inlineStr">
        <is>
          <t>Germany</t>
        </is>
      </c>
      <c r="D30" s="14" t="inlineStr">
        <is>
          <t>Lingen / Ruhr corridor (RWE-led)</t>
        </is>
      </c>
      <c r="E30" s="14" t="inlineStr">
        <is>
          <t>RWE (lead); offtakers include TotalEnergies, BP-adjacent industrial customers</t>
        </is>
      </c>
      <c r="F30" s="14" t="n">
        <v>300</v>
      </c>
      <c r="G30" s="14" t="inlineStr">
        <is>
          <t>PEM</t>
        </is>
      </c>
      <c r="H30" s="14" t="n">
        <v>30</v>
      </c>
      <c r="I30" s="14" t="n"/>
      <c r="J30" s="14" t="n"/>
      <c r="K30" s="14" t="inlineStr">
        <is>
          <t>IPCEI Hy2Infra / Hy2Use</t>
        </is>
      </c>
      <c r="L30" s="14" t="n">
        <v>2022</v>
      </c>
      <c r="M30" s="14" t="n">
        <v>2024</v>
      </c>
      <c r="N30" s="14" t="n">
        <v>2027</v>
      </c>
      <c r="O30" s="14" t="inlineStr">
        <is>
          <t>FID/Construction</t>
        </is>
      </c>
      <c r="P30" s="14" t="inlineStr">
        <is>
          <t>Refinery + chemicals corridor</t>
        </is>
      </c>
      <c r="Q30" s="14" t="inlineStr">
        <is>
          <t>S-CHM2025</t>
        </is>
      </c>
      <c r="R30" s="14" t="inlineStr">
        <is>
          <t>A</t>
        </is>
      </c>
      <c r="S30" s="14" t="inlineStr">
        <is>
          <t>300 MW PEM cluster; FID H2 2024; cited in CHM 2025 as part of &gt;500 MW FIDs in 2024.</t>
        </is>
      </c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  <c r="R31" s="14" t="n"/>
      <c r="S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  <c r="Q33" s="14" t="n"/>
      <c r="R33" s="14" t="n"/>
      <c r="S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14" t="n"/>
      <c r="S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  <c r="Q35" s="14" t="n"/>
      <c r="R35" s="14" t="n"/>
      <c r="S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  <c r="Q39" s="14" t="n"/>
      <c r="R39" s="14" t="n"/>
      <c r="S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  <c r="Q40" s="14" t="n"/>
      <c r="R40" s="14" t="n"/>
      <c r="S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  <c r="Q41" s="14" t="n"/>
      <c r="R41" s="14" t="n"/>
      <c r="S41" s="14" t="n"/>
    </row>
    <row r="42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  <c r="Q42" s="14" t="n"/>
      <c r="R42" s="14" t="n"/>
      <c r="S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  <c r="Q43" s="14" t="n"/>
      <c r="R43" s="14" t="n"/>
      <c r="S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  <c r="Q44" s="14" t="n"/>
      <c r="R44" s="14" t="n"/>
      <c r="S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  <c r="Q45" s="14" t="n"/>
      <c r="R45" s="14" t="n"/>
      <c r="S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  <c r="Q46" s="14" t="n"/>
      <c r="R46" s="14" t="n"/>
      <c r="S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  <c r="Q47" s="14" t="n"/>
      <c r="R47" s="14" t="n"/>
      <c r="S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  <c r="Q48" s="14" t="n"/>
      <c r="R48" s="14" t="n"/>
      <c r="S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  <c r="Q49" s="14" t="n"/>
      <c r="R49" s="14" t="n"/>
      <c r="S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  <c r="Q50" s="14" t="n"/>
      <c r="R50" s="14" t="n"/>
      <c r="S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  <c r="Q51" s="14" t="n"/>
      <c r="R51" s="14" t="n"/>
      <c r="S51" s="14" t="n"/>
    </row>
    <row r="53" ht="30" customHeight="1" s="68">
      <c r="A53" s="66" t="inlineStr">
        <is>
          <t>Recommended sources: IEA Hydrogen Projects Database (https://www.iea.org/data-and-statistics/data-product/hydrogen-projects-database), Hydrogen Europe Clean Hydrogen Monitor, company press releases. Cross-check CAPEX against Clean Hydrogen Partnership / IPCEI Hy2Tech &amp; Hy2Use funding decisions.</t>
        </is>
      </c>
    </row>
  </sheetData>
  <mergeCells count="1">
    <mergeCell ref="A53:S53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51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"/>
    </sheetView>
  </sheetViews>
  <sheetFormatPr baseColWidth="8" defaultColWidth="8.6640625" defaultRowHeight="14.4"/>
  <cols>
    <col width="16" customWidth="1" style="68" min="1" max="1"/>
    <col width="22" customWidth="1" style="68" min="2" max="2"/>
    <col width="12" customWidth="1" style="68" min="3" max="3"/>
    <col width="16" customWidth="1" style="68" min="4" max="4"/>
    <col width="12" customWidth="1" style="68" min="5" max="5"/>
    <col width="11" customWidth="1" style="68" min="6" max="6"/>
    <col width="14" customWidth="1" style="68" min="7" max="7"/>
    <col width="10" customWidth="1" style="68" min="8" max="8"/>
    <col width="12" customWidth="1" style="68" min="9" max="11"/>
    <col width="13" customWidth="1" style="68" min="12" max="12"/>
    <col width="28" customWidth="1" style="68" min="13" max="13"/>
  </cols>
  <sheetData>
    <row r="1" ht="49.5" customHeight="1" s="68">
      <c r="A1" s="11" t="inlineStr">
        <is>
          <t>Company</t>
        </is>
      </c>
      <c r="B1" s="11" t="inlineStr">
        <is>
          <t>Asset name</t>
        </is>
      </c>
      <c r="C1" s="11" t="inlineStr">
        <is>
          <t>Country</t>
        </is>
      </c>
      <c r="D1" s="11" t="inlineStr">
        <is>
          <t>Technology (Solar PV / Onshore Wind / Offshore Wind / Other)</t>
        </is>
      </c>
      <c r="E1" s="11" t="inlineStr">
        <is>
          <t>Net capacity (MW)</t>
        </is>
      </c>
      <c r="F1" s="11" t="inlineStr">
        <is>
          <t>Ownership %</t>
        </is>
      </c>
      <c r="G1" s="11" t="inlineStr">
        <is>
          <t>Status (Operational / UC / Pipeline)</t>
        </is>
      </c>
      <c r="H1" s="11" t="inlineStr">
        <is>
          <t>COD year</t>
        </is>
      </c>
      <c r="I1" s="11" t="inlineStr">
        <is>
          <t>Capacity factor (%, if disclosed)</t>
        </is>
      </c>
      <c r="J1" s="11" t="inlineStr">
        <is>
          <t>Linked to H₂ project?</t>
        </is>
      </c>
      <c r="K1" s="11" t="inlineStr">
        <is>
          <t>Source_ID</t>
        </is>
      </c>
      <c r="L1" s="11" t="inlineStr">
        <is>
          <t>Data_Quality</t>
        </is>
      </c>
      <c r="M1" s="11" t="inlineStr">
        <is>
          <t>Notes</t>
        </is>
      </c>
    </row>
    <row r="2" ht="52.8" customHeight="1" s="68">
      <c r="A2" s="14" t="inlineStr">
        <is>
          <t>Shell plc</t>
        </is>
      </c>
      <c r="B2" s="14" t="inlineStr">
        <is>
          <t>Hollandse Kust Noord (CrossWind JV)</t>
        </is>
      </c>
      <c r="C2" s="14" t="inlineStr">
        <is>
          <t>Netherlands</t>
        </is>
      </c>
      <c r="D2" s="14" t="inlineStr">
        <is>
          <t>Offshore Wind</t>
        </is>
      </c>
      <c r="E2" s="14" t="n">
        <v>759</v>
      </c>
      <c r="F2" s="14" t="n">
        <v>79.90000000000001</v>
      </c>
      <c r="G2" s="14" t="inlineStr">
        <is>
          <t>Operational</t>
        </is>
      </c>
      <c r="H2" s="14" t="n">
        <v>2023</v>
      </c>
      <c r="I2" s="14" t="n">
        <v>47</v>
      </c>
      <c r="J2" s="14" t="inlineStr">
        <is>
          <t>Yes — supplies Holland Hydrogen I</t>
        </is>
      </c>
      <c r="K2" s="14" t="inlineStr">
        <is>
          <t>S-SHELL-AR24</t>
        </is>
      </c>
      <c r="L2" s="14" t="inlineStr">
        <is>
          <t>A</t>
        </is>
      </c>
      <c r="M2" s="14" t="inlineStr">
        <is>
          <t>50:50 JV with Eneco; Shell 79.9% stake economic</t>
        </is>
      </c>
    </row>
    <row r="3" ht="26.4" customHeight="1" s="68">
      <c r="A3" s="14" t="inlineStr">
        <is>
          <t>Shell plc</t>
        </is>
      </c>
      <c r="B3" s="14" t="inlineStr">
        <is>
          <t>MayFlower / various US PV portfolio</t>
        </is>
      </c>
      <c r="C3" s="14" t="inlineStr">
        <is>
          <t>United States</t>
        </is>
      </c>
      <c r="D3" s="14" t="inlineStr">
        <is>
          <t>Solar PV</t>
        </is>
      </c>
      <c r="E3" s="14" t="n">
        <v>1500</v>
      </c>
      <c r="F3" s="14" t="n"/>
      <c r="G3" s="14" t="inlineStr">
        <is>
          <t>Operational</t>
        </is>
      </c>
      <c r="H3" s="14" t="n"/>
      <c r="I3" s="14" t="n">
        <v>22</v>
      </c>
      <c r="J3" s="14" t="inlineStr">
        <is>
          <t>No</t>
        </is>
      </c>
      <c r="K3" s="14" t="inlineStr">
        <is>
          <t>S-SHELL-AR24</t>
        </is>
      </c>
      <c r="L3" s="14" t="inlineStr">
        <is>
          <t>D</t>
        </is>
      </c>
      <c r="M3" s="14" t="inlineStr">
        <is>
          <t>Indicative US portfolio; not directly linked to EU H2</t>
        </is>
      </c>
    </row>
    <row r="4" ht="26.4" customHeight="1" s="68">
      <c r="A4" s="14" t="inlineStr">
        <is>
          <t>TotalEnergies SE</t>
        </is>
      </c>
      <c r="B4" s="14" t="inlineStr">
        <is>
          <t>Seagreen (offshore wind)</t>
        </is>
      </c>
      <c r="C4" s="14" t="inlineStr">
        <is>
          <t>United Kingdom</t>
        </is>
      </c>
      <c r="D4" s="14" t="inlineStr">
        <is>
          <t>Offshore Wind</t>
        </is>
      </c>
      <c r="E4" s="14" t="n">
        <v>1075</v>
      </c>
      <c r="F4" s="14" t="n">
        <v>25</v>
      </c>
      <c r="G4" s="14" t="inlineStr">
        <is>
          <t>Operational</t>
        </is>
      </c>
      <c r="H4" s="14" t="n">
        <v>2023</v>
      </c>
      <c r="I4" s="14" t="n">
        <v>49</v>
      </c>
      <c r="J4" s="14" t="inlineStr">
        <is>
          <t>No</t>
        </is>
      </c>
      <c r="K4" s="14" t="inlineStr">
        <is>
          <t>S-TTE-FR24</t>
        </is>
      </c>
      <c r="L4" s="14" t="inlineStr">
        <is>
          <t>A</t>
        </is>
      </c>
      <c r="M4" s="14" t="inlineStr">
        <is>
          <t>JV with SSE; TotalEnergies 25%</t>
        </is>
      </c>
    </row>
    <row r="5" ht="52.8" customHeight="1" s="68">
      <c r="A5" s="14" t="inlineStr">
        <is>
          <t>TotalEnergies SE</t>
        </is>
      </c>
      <c r="B5" s="14" t="inlineStr">
        <is>
          <t>OranjeWind</t>
        </is>
      </c>
      <c r="C5" s="14" t="inlineStr">
        <is>
          <t>Netherlands</t>
        </is>
      </c>
      <c r="D5" s="14" t="inlineStr">
        <is>
          <t>Offshore Wind</t>
        </is>
      </c>
      <c r="E5" s="14" t="n">
        <v>800</v>
      </c>
      <c r="F5" s="14" t="n">
        <v>50</v>
      </c>
      <c r="G5" s="14" t="inlineStr">
        <is>
          <t>Pipeline</t>
        </is>
      </c>
      <c r="H5" s="14" t="n">
        <v>2028</v>
      </c>
      <c r="I5" s="14" t="n">
        <v>50</v>
      </c>
      <c r="J5" s="14" t="inlineStr">
        <is>
          <t>Yes — Antwerp green H2 supply</t>
        </is>
      </c>
      <c r="K5" s="14" t="inlineStr">
        <is>
          <t>S-TTE-SC24</t>
        </is>
      </c>
      <c r="L5" s="14" t="inlineStr">
        <is>
          <t>A</t>
        </is>
      </c>
      <c r="M5" s="14" t="inlineStr">
        <is>
          <t>50:50 JV with RWE</t>
        </is>
      </c>
    </row>
    <row r="6" ht="26.4" customHeight="1" s="68">
      <c r="A6" s="14" t="inlineStr">
        <is>
          <t>TotalEnergies SE</t>
        </is>
      </c>
      <c r="B6" s="14" t="inlineStr">
        <is>
          <t>Spanish PV portfolio (multiple sites)</t>
        </is>
      </c>
      <c r="C6" s="14" t="inlineStr">
        <is>
          <t>Spain</t>
        </is>
      </c>
      <c r="D6" s="14" t="inlineStr">
        <is>
          <t>Solar PV</t>
        </is>
      </c>
      <c r="E6" s="14" t="n">
        <v>2000</v>
      </c>
      <c r="F6" s="14" t="n">
        <v>100</v>
      </c>
      <c r="G6" s="14" t="inlineStr">
        <is>
          <t>Operational</t>
        </is>
      </c>
      <c r="H6" s="14" t="n"/>
      <c r="I6" s="14" t="n">
        <v>24</v>
      </c>
      <c r="J6" s="14" t="inlineStr">
        <is>
          <t>No</t>
        </is>
      </c>
      <c r="K6" s="14" t="inlineStr">
        <is>
          <t>S-TTE-FR24</t>
        </is>
      </c>
      <c r="L6" s="14" t="inlineStr">
        <is>
          <t>D</t>
        </is>
      </c>
      <c r="M6" s="14" t="inlineStr">
        <is>
          <t>Iberian PPAs feed Integrated Power</t>
        </is>
      </c>
    </row>
    <row r="7" ht="39.6" customHeight="1" s="68">
      <c r="A7" s="14" t="inlineStr">
        <is>
          <t>bp plc</t>
        </is>
      </c>
      <c r="B7" s="14" t="inlineStr">
        <is>
          <t>Lightsource bp portfolio (Europe)</t>
        </is>
      </c>
      <c r="C7" s="14" t="inlineStr">
        <is>
          <t>Multiple</t>
        </is>
      </c>
      <c r="D7" s="14" t="inlineStr">
        <is>
          <t>Solar PV</t>
        </is>
      </c>
      <c r="E7" s="14" t="n">
        <v>2400</v>
      </c>
      <c r="F7" s="14" t="n">
        <v>100</v>
      </c>
      <c r="G7" s="14" t="inlineStr">
        <is>
          <t>Operational</t>
        </is>
      </c>
      <c r="H7" s="14" t="n"/>
      <c r="I7" s="14" t="n">
        <v>17</v>
      </c>
      <c r="J7" s="14" t="inlineStr">
        <is>
          <t>Indirect</t>
        </is>
      </c>
      <c r="K7" s="14" t="inlineStr">
        <is>
          <t>S-BP-AR24</t>
        </is>
      </c>
      <c r="L7" s="14" t="inlineStr">
        <is>
          <t>D</t>
        </is>
      </c>
      <c r="M7" s="14" t="inlineStr">
        <is>
          <t>Acquired 100% in 2024; European share of global pipeline ~30 GW</t>
        </is>
      </c>
    </row>
    <row r="8" ht="26.4" customHeight="1" s="68">
      <c r="A8" s="14" t="inlineStr">
        <is>
          <t>bp plc</t>
        </is>
      </c>
      <c r="B8" s="14" t="inlineStr">
        <is>
          <t>Mona / Morgan (Irish Sea offshore wind)</t>
        </is>
      </c>
      <c r="C8" s="14" t="inlineStr">
        <is>
          <t>United Kingdom</t>
        </is>
      </c>
      <c r="D8" s="14" t="inlineStr">
        <is>
          <t>Offshore Wind</t>
        </is>
      </c>
      <c r="E8" s="14" t="n">
        <v>3000</v>
      </c>
      <c r="F8" s="14" t="n">
        <v>50</v>
      </c>
      <c r="G8" s="14" t="inlineStr">
        <is>
          <t>Pipeline</t>
        </is>
      </c>
      <c r="H8" s="14" t="n">
        <v>2029</v>
      </c>
      <c r="I8" s="14" t="n">
        <v>47</v>
      </c>
      <c r="J8" s="14" t="inlineStr">
        <is>
          <t>Indirect</t>
        </is>
      </c>
      <c r="K8" s="14" t="inlineStr">
        <is>
          <t>S-BP-AR24</t>
        </is>
      </c>
      <c r="L8" s="14" t="inlineStr">
        <is>
          <t>D</t>
        </is>
      </c>
      <c r="M8" s="14" t="inlineStr">
        <is>
          <t>JV with EnBW</t>
        </is>
      </c>
    </row>
    <row r="9" ht="26.4" customHeight="1" s="68">
      <c r="A9" s="14" t="inlineStr">
        <is>
          <t>Eni S.p.A.</t>
        </is>
      </c>
      <c r="B9" s="14" t="inlineStr">
        <is>
          <t>Plenitude renewables portfolio (Europe)</t>
        </is>
      </c>
      <c r="C9" s="14" t="inlineStr">
        <is>
          <t>Multiple</t>
        </is>
      </c>
      <c r="D9" s="14" t="inlineStr">
        <is>
          <t>Solar PV + Onshore Wind</t>
        </is>
      </c>
      <c r="E9" s="14" t="n">
        <v>4100</v>
      </c>
      <c r="F9" s="14" t="n">
        <v>100</v>
      </c>
      <c r="G9" s="14" t="inlineStr">
        <is>
          <t>Operational</t>
        </is>
      </c>
      <c r="H9" s="14" t="n"/>
      <c r="I9" s="14" t="n">
        <v>21</v>
      </c>
      <c r="J9" s="14" t="inlineStr">
        <is>
          <t>Indirect</t>
        </is>
      </c>
      <c r="K9" s="14" t="inlineStr">
        <is>
          <t>S-ENI-AR24</t>
        </is>
      </c>
      <c r="L9" s="14" t="inlineStr">
        <is>
          <t>A</t>
        </is>
      </c>
      <c r="M9" s="14" t="inlineStr">
        <is>
          <t>4.1 GW installed at end-2024 globally; majority in EU &amp; Iberia</t>
        </is>
      </c>
    </row>
    <row r="10" ht="39.6" customHeight="1" s="68">
      <c r="A10" s="14" t="inlineStr">
        <is>
          <t>Repsol S.A.</t>
        </is>
      </c>
      <c r="B10" s="14" t="inlineStr">
        <is>
          <t>Delta II (Aragon onshore wind)</t>
        </is>
      </c>
      <c r="C10" s="14" t="inlineStr">
        <is>
          <t>Spain</t>
        </is>
      </c>
      <c r="D10" s="14" t="inlineStr">
        <is>
          <t>Onshore Wind</t>
        </is>
      </c>
      <c r="E10" s="14" t="n">
        <v>800</v>
      </c>
      <c r="F10" s="14" t="n">
        <v>100</v>
      </c>
      <c r="G10" s="14" t="inlineStr">
        <is>
          <t>Operational</t>
        </is>
      </c>
      <c r="H10" s="14" t="n">
        <v>2023</v>
      </c>
      <c r="I10" s="14" t="n">
        <v>28</v>
      </c>
      <c r="J10" s="14" t="inlineStr">
        <is>
          <t>Yes — Cartagena/Petronor PPAs</t>
        </is>
      </c>
      <c r="K10" s="14" t="inlineStr">
        <is>
          <t>S-REPSOL-AR24</t>
        </is>
      </c>
      <c r="L10" s="14" t="inlineStr">
        <is>
          <t>A</t>
        </is>
      </c>
      <c r="M10" s="14" t="inlineStr">
        <is>
          <t>Major wind portfolio.</t>
        </is>
      </c>
    </row>
    <row r="11" ht="26.4" customHeight="1" s="68">
      <c r="A11" s="14" t="inlineStr">
        <is>
          <t>Repsol S.A.</t>
        </is>
      </c>
      <c r="B11" s="14" t="inlineStr">
        <is>
          <t>Kappa &amp; Sigma PV</t>
        </is>
      </c>
      <c r="C11" s="14" t="inlineStr">
        <is>
          <t>Spain</t>
        </is>
      </c>
      <c r="D11" s="14" t="inlineStr">
        <is>
          <t>Solar PV</t>
        </is>
      </c>
      <c r="E11" s="14" t="n">
        <v>700</v>
      </c>
      <c r="F11" s="14" t="n">
        <v>100</v>
      </c>
      <c r="G11" s="14" t="inlineStr">
        <is>
          <t>Operational</t>
        </is>
      </c>
      <c r="H11" s="14" t="n">
        <v>2022</v>
      </c>
      <c r="I11" s="14" t="n">
        <v>24</v>
      </c>
      <c r="J11" s="14" t="inlineStr">
        <is>
          <t>Indirect</t>
        </is>
      </c>
      <c r="K11" s="14" t="inlineStr">
        <is>
          <t>S-REPSOL-AR24</t>
        </is>
      </c>
      <c r="L11" s="14" t="inlineStr">
        <is>
          <t>A</t>
        </is>
      </c>
      <c r="M11" s="14" t="n"/>
    </row>
    <row r="12" ht="26.4" customHeight="1" s="68">
      <c r="A12" s="14" t="inlineStr">
        <is>
          <t>Repsol S.A.</t>
        </is>
      </c>
      <c r="B12" s="14" t="inlineStr">
        <is>
          <t>PI/Frye (US)</t>
        </is>
      </c>
      <c r="C12" s="14" t="inlineStr">
        <is>
          <t>United States</t>
        </is>
      </c>
      <c r="D12" s="14" t="inlineStr">
        <is>
          <t>Solar PV</t>
        </is>
      </c>
      <c r="E12" s="14" t="n">
        <v>632</v>
      </c>
      <c r="F12" s="14" t="n">
        <v>100</v>
      </c>
      <c r="G12" s="14" t="inlineStr">
        <is>
          <t>Operational</t>
        </is>
      </c>
      <c r="H12" s="14" t="n">
        <v>2023</v>
      </c>
      <c r="I12" s="14" t="n">
        <v>26</v>
      </c>
      <c r="J12" s="14" t="inlineStr">
        <is>
          <t>No</t>
        </is>
      </c>
      <c r="K12" s="14" t="inlineStr">
        <is>
          <t>S-REPSOL-AR24</t>
        </is>
      </c>
      <c r="L12" s="14" t="inlineStr">
        <is>
          <t>D</t>
        </is>
      </c>
      <c r="M12" s="14" t="inlineStr">
        <is>
          <t>Outside EU</t>
        </is>
      </c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</row>
    <row r="42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41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7" sqref="A7"/>
    </sheetView>
  </sheetViews>
  <sheetFormatPr baseColWidth="8" defaultColWidth="8.6640625" defaultRowHeight="14.4"/>
  <cols>
    <col width="16" customWidth="1" style="68" min="1" max="1"/>
    <col width="22" customWidth="1" style="68" min="2" max="2"/>
    <col width="12" customWidth="1" style="68" min="3" max="3"/>
    <col width="14" customWidth="1" style="68" min="4" max="7"/>
    <col width="10" customWidth="1" style="68" min="8" max="8"/>
    <col width="14" customWidth="1" style="68" min="9" max="9"/>
    <col width="10" customWidth="1" style="68" min="10" max="10"/>
    <col width="12" customWidth="1" style="68" min="11" max="12"/>
    <col width="13" customWidth="1" style="68" min="13" max="13"/>
    <col width="28" customWidth="1" style="68" min="14" max="14"/>
  </cols>
  <sheetData>
    <row r="1" ht="49.5" customHeight="1" s="68">
      <c r="A1" s="11" t="inlineStr">
        <is>
          <t>Company</t>
        </is>
      </c>
      <c r="B1" s="11" t="inlineStr">
        <is>
          <t>Counterparty</t>
        </is>
      </c>
      <c r="C1" s="11" t="inlineStr">
        <is>
          <t>Country (asset)</t>
        </is>
      </c>
      <c r="D1" s="11" t="inlineStr">
        <is>
          <t>Technology</t>
        </is>
      </c>
      <c r="E1" s="11" t="inlineStr">
        <is>
          <t>Contracted capacity (MW)</t>
        </is>
      </c>
      <c r="F1" s="11" t="inlineStr">
        <is>
          <t>Contracted energy (GWh/y)</t>
        </is>
      </c>
      <c r="G1" s="11" t="inlineStr">
        <is>
          <t>PPA type (Physical / Virtual / Sleeved)</t>
        </is>
      </c>
      <c r="H1" s="11" t="inlineStr">
        <is>
          <t>Term (years)</t>
        </is>
      </c>
      <c r="I1" s="11" t="inlineStr">
        <is>
          <t>Price (€/MWh, if disclosed)</t>
        </is>
      </c>
      <c r="J1" s="11" t="inlineStr">
        <is>
          <t>Start year</t>
        </is>
      </c>
      <c r="K1" s="11" t="inlineStr">
        <is>
          <t>Linked to H₂ project?</t>
        </is>
      </c>
      <c r="L1" s="11" t="inlineStr">
        <is>
          <t>Source_ID</t>
        </is>
      </c>
      <c r="M1" s="11" t="inlineStr">
        <is>
          <t>Data_Quality</t>
        </is>
      </c>
      <c r="N1" s="11" t="inlineStr">
        <is>
          <t>Notes</t>
        </is>
      </c>
    </row>
    <row r="2" ht="52.8" customHeight="1" s="68">
      <c r="A2" s="14" t="inlineStr">
        <is>
          <t>bp plc</t>
        </is>
      </c>
      <c r="B2" s="14" t="inlineStr">
        <is>
          <t>Iberdrola España</t>
        </is>
      </c>
      <c r="C2" s="14" t="inlineStr">
        <is>
          <t>Spain</t>
        </is>
      </c>
      <c r="D2" s="14" t="inlineStr">
        <is>
          <t>Solar PV + Onshore Wind</t>
        </is>
      </c>
      <c r="E2" s="14" t="n"/>
      <c r="F2" s="14" t="n">
        <v>200</v>
      </c>
      <c r="G2" s="14" t="inlineStr">
        <is>
          <t>Physical</t>
        </is>
      </c>
      <c r="H2" s="14" t="n">
        <v>10</v>
      </c>
      <c r="I2" s="14" t="n"/>
      <c r="J2" s="14" t="n">
        <v>2026</v>
      </c>
      <c r="K2" s="14" t="inlineStr">
        <is>
          <t>Yes — Castellón Green Hydrogen</t>
        </is>
      </c>
      <c r="L2" s="14" t="inlineStr">
        <is>
          <t>S-BP-AR24</t>
        </is>
      </c>
      <c r="M2" s="14" t="inlineStr">
        <is>
          <t>A</t>
        </is>
      </c>
      <c r="N2" s="14" t="inlineStr">
        <is>
          <t>200 GWh/y to power 25 MW electrolyser; signed 2024 alongside FID</t>
        </is>
      </c>
    </row>
    <row r="3" ht="39.6" customHeight="1" s="68">
      <c r="A3" s="14" t="inlineStr">
        <is>
          <t>Shell plc</t>
        </is>
      </c>
      <c r="B3" s="14" t="inlineStr">
        <is>
          <t>CrossWind (Hollandse Kust Noord)</t>
        </is>
      </c>
      <c r="C3" s="14" t="inlineStr">
        <is>
          <t>Netherlands</t>
        </is>
      </c>
      <c r="D3" s="14" t="inlineStr">
        <is>
          <t>Offshore Wind</t>
        </is>
      </c>
      <c r="E3" s="14" t="n"/>
      <c r="F3" s="14" t="n"/>
      <c r="G3" s="14" t="inlineStr">
        <is>
          <t>Physical (own equity)</t>
        </is>
      </c>
      <c r="H3" s="14" t="n">
        <v>15</v>
      </c>
      <c r="I3" s="14" t="n"/>
      <c r="J3" s="14" t="n">
        <v>2023</v>
      </c>
      <c r="K3" s="14" t="inlineStr">
        <is>
          <t>Yes — Holland Hydrogen I</t>
        </is>
      </c>
      <c r="L3" s="14" t="inlineStr">
        <is>
          <t>S-SHELL-AR24</t>
        </is>
      </c>
      <c r="M3" s="14" t="inlineStr">
        <is>
          <t>A</t>
        </is>
      </c>
      <c r="N3" s="14" t="inlineStr">
        <is>
          <t>Equity supply via JV; 79.9% Shell economic interest</t>
        </is>
      </c>
    </row>
    <row r="4" ht="79.2" customHeight="1" s="68">
      <c r="A4" s="14" t="inlineStr">
        <is>
          <t>TotalEnergies SE</t>
        </is>
      </c>
      <c r="B4" s="14" t="inlineStr">
        <is>
          <t>TotalEnergies (own RES)</t>
        </is>
      </c>
      <c r="C4" s="14" t="inlineStr">
        <is>
          <t>France</t>
        </is>
      </c>
      <c r="D4" s="14" t="inlineStr">
        <is>
          <t>Solar PV + Onshore Wind</t>
        </is>
      </c>
      <c r="E4" s="14" t="n"/>
      <c r="F4" s="14" t="n">
        <v>700</v>
      </c>
      <c r="G4" s="14" t="inlineStr">
        <is>
          <t>Physical</t>
        </is>
      </c>
      <c r="H4" s="14" t="n">
        <v>15</v>
      </c>
      <c r="I4" s="14" t="n"/>
      <c r="J4" s="14" t="n">
        <v>2026</v>
      </c>
      <c r="K4" s="14" t="inlineStr">
        <is>
          <t>Yes — Air Liquide Normandy 100 MW electrolyser share</t>
        </is>
      </c>
      <c r="L4" s="14" t="inlineStr">
        <is>
          <t>S-TTE-SC24</t>
        </is>
      </c>
      <c r="M4" s="14" t="inlineStr">
        <is>
          <t>A</t>
        </is>
      </c>
      <c r="N4" s="14" t="inlineStr">
        <is>
          <t>700 GWh/y renewable for Normandy electrolyser</t>
        </is>
      </c>
    </row>
    <row r="5" ht="66" customHeight="1" s="68">
      <c r="A5" s="14" t="inlineStr">
        <is>
          <t>TotalEnergies SE</t>
        </is>
      </c>
      <c r="B5" s="14" t="inlineStr">
        <is>
          <t>OranjeWind (JV with RWE)</t>
        </is>
      </c>
      <c r="C5" s="14" t="inlineStr">
        <is>
          <t>Netherlands</t>
        </is>
      </c>
      <c r="D5" s="14" t="inlineStr">
        <is>
          <t>Offshore Wind</t>
        </is>
      </c>
      <c r="E5" s="14" t="n"/>
      <c r="F5" s="14" t="n"/>
      <c r="G5" s="14" t="inlineStr">
        <is>
          <t>Physical</t>
        </is>
      </c>
      <c r="H5" s="14" t="n">
        <v>15</v>
      </c>
      <c r="I5" s="14" t="n"/>
      <c r="J5" s="14" t="n">
        <v>2028</v>
      </c>
      <c r="K5" s="14" t="inlineStr">
        <is>
          <t>Yes — Antwerp green H2 via Air Liquide tolling</t>
        </is>
      </c>
      <c r="L5" s="14" t="inlineStr">
        <is>
          <t>S-TTE-SC24</t>
        </is>
      </c>
      <c r="M5" s="14" t="inlineStr">
        <is>
          <t>A</t>
        </is>
      </c>
      <c r="N5" s="14" t="n"/>
    </row>
    <row r="6" ht="52.8" customHeight="1" s="68">
      <c r="A6" s="14" t="inlineStr">
        <is>
          <t>Repsol S.A.</t>
        </is>
      </c>
      <c r="B6" s="14" t="inlineStr">
        <is>
          <t>Internal (Delta II / PV)</t>
        </is>
      </c>
      <c r="C6" s="14" t="inlineStr">
        <is>
          <t>Spain</t>
        </is>
      </c>
      <c r="D6" s="14" t="inlineStr">
        <is>
          <t>Onshore Wind + Solar PV</t>
        </is>
      </c>
      <c r="E6" s="14" t="n"/>
      <c r="F6" s="14" t="n"/>
      <c r="G6" s="14" t="inlineStr">
        <is>
          <t>Physical (own RES)</t>
        </is>
      </c>
      <c r="H6" s="14" t="n">
        <v>20</v>
      </c>
      <c r="I6" s="14" t="n"/>
      <c r="J6" s="14" t="n">
        <v>2026</v>
      </c>
      <c r="K6" s="14" t="inlineStr">
        <is>
          <t>Yes — Petronor / Cartagena electrolysers</t>
        </is>
      </c>
      <c r="L6" s="14" t="inlineStr">
        <is>
          <t>S-REPSOL-AR24</t>
        </is>
      </c>
      <c r="M6" s="14" t="inlineStr">
        <is>
          <t>A</t>
        </is>
      </c>
      <c r="N6" s="14" t="inlineStr">
        <is>
          <t>Repsol intends to power most electrolysers with own RES</t>
        </is>
      </c>
    </row>
    <row r="7" ht="52.8" customHeight="1" s="68">
      <c r="A7" s="14" t="inlineStr">
        <is>
          <t>Eni S.p.A.</t>
        </is>
      </c>
      <c r="B7" s="14" t="inlineStr">
        <is>
          <t>Plenitude (internal)</t>
        </is>
      </c>
      <c r="C7" s="14" t="inlineStr">
        <is>
          <t>Multiple EU</t>
        </is>
      </c>
      <c r="D7" s="14" t="inlineStr">
        <is>
          <t>Solar PV + Wind</t>
        </is>
      </c>
      <c r="E7" s="14" t="n"/>
      <c r="F7" s="14" t="n"/>
      <c r="G7" s="14" t="inlineStr">
        <is>
          <t>Physical (own RES)</t>
        </is>
      </c>
      <c r="H7" s="14" t="n">
        <v>15</v>
      </c>
      <c r="I7" s="14" t="n"/>
      <c r="J7" s="14" t="n">
        <v>2025</v>
      </c>
      <c r="K7" s="14" t="inlineStr">
        <is>
          <t>Indirect — feeds Eni industrial sites</t>
        </is>
      </c>
      <c r="L7" s="14" t="inlineStr">
        <is>
          <t>S-ENI-AR24</t>
        </is>
      </c>
      <c r="M7" s="14" t="inlineStr">
        <is>
          <t>D</t>
        </is>
      </c>
      <c r="N7" s="14" t="inlineStr">
        <is>
          <t>Plenitude supplies group integrated power</t>
        </is>
      </c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6"/>
  <sheetViews>
    <sheetView zoomScale="80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P3" sqref="P3"/>
    </sheetView>
  </sheetViews>
  <sheetFormatPr baseColWidth="8" defaultColWidth="8.6640625" defaultRowHeight="14.4"/>
  <cols>
    <col width="20" customWidth="1" style="68" min="1" max="1"/>
    <col width="11" customWidth="1" style="68" min="2" max="2"/>
    <col width="14" customWidth="1" style="68" min="3" max="9"/>
    <col width="13.77734375" customWidth="1" style="68" min="10" max="10"/>
    <col width="24.6640625" customWidth="1" style="68" min="11" max="11"/>
    <col width="12" customWidth="1" style="68" min="12" max="12"/>
    <col width="14" customWidth="1" style="68" min="13" max="13"/>
    <col width="11" customWidth="1" style="68" min="14" max="14"/>
    <col width="12" customWidth="1" style="68" min="15" max="15"/>
    <col width="13" customWidth="1" style="68" min="16" max="16"/>
    <col width="28" customWidth="1" style="68" min="17" max="17"/>
  </cols>
  <sheetData>
    <row r="1" ht="36" customHeight="1" s="68">
      <c r="A1" s="16" t="inlineStr">
        <is>
          <t>Company</t>
        </is>
      </c>
      <c r="B1" s="16" t="inlineStr">
        <is>
          <t>Baseline
year</t>
        </is>
      </c>
      <c r="C1" s="16" t="inlineStr">
        <is>
          <t>Scope 1
baseline
(Mt CO₂e)</t>
        </is>
      </c>
      <c r="D1" s="16" t="inlineStr">
        <is>
          <t>Scope 2
baseline
(Mt CO₂e)</t>
        </is>
      </c>
      <c r="E1" s="16" t="inlineStr">
        <is>
          <t>Scope 3
baseline
(Mt CO₂e)</t>
        </is>
      </c>
      <c r="F1" s="16" t="inlineStr">
        <is>
          <t>Scope 1+2
target 2030</t>
        </is>
      </c>
      <c r="G1" s="16" t="inlineStr">
        <is>
          <t>Scope 1+2
target 2040</t>
        </is>
      </c>
      <c r="H1" s="16" t="inlineStr">
        <is>
          <t>Scope 3
target 2030</t>
        </is>
      </c>
      <c r="I1" s="16" t="inlineStr">
        <is>
          <t>Scope 3
target 2040</t>
        </is>
      </c>
      <c r="J1" s="16" t="inlineStr">
        <is>
          <t>Target type
(Absolute /
Intensity)</t>
        </is>
      </c>
      <c r="K1" s="16" t="inlineStr">
        <is>
          <t>Net-zero
year
(Scope 1+2)</t>
        </is>
      </c>
      <c r="L1" s="16" t="inlineStr">
        <is>
          <t>Net-zero
year
(Scope 3)</t>
        </is>
      </c>
      <c r="M1" s="16" t="inlineStr">
        <is>
          <t>Internal
carbon price
(€/t CO₂)</t>
        </is>
      </c>
      <c r="N1" s="16" t="inlineStr">
        <is>
          <t>SBTi
validated?</t>
        </is>
      </c>
      <c r="O1" s="16" t="inlineStr">
        <is>
          <t>Source_ID</t>
        </is>
      </c>
      <c r="P1" s="16" t="inlineStr">
        <is>
          <t>Data_
Quality</t>
        </is>
      </c>
      <c r="Q1" s="16" t="inlineStr">
        <is>
          <t>Notes</t>
        </is>
      </c>
    </row>
    <row r="2" ht="69.59999999999999" customHeight="1" s="68">
      <c r="A2" s="17" t="inlineStr">
        <is>
          <t>Shell plc</t>
        </is>
      </c>
      <c r="B2" s="18" t="inlineStr">
        <is>
          <t>2016</t>
        </is>
      </c>
      <c r="C2" s="19" t="inlineStr">
        <is>
          <t xml:space="preserve">
 ~71</t>
        </is>
      </c>
      <c r="D2" s="19" t="inlineStr">
        <is>
          <t>12</t>
        </is>
      </c>
      <c r="E2" s="19" t="inlineStr">
        <is>
          <t>1376
[base 2016
≠ target base]</t>
        </is>
      </c>
      <c r="F2" s="19" t="inlineStr">
        <is>
          <t>-50%</t>
        </is>
      </c>
      <c r="G2" s="19" t="inlineStr">
        <is>
          <t>-70%</t>
        </is>
      </c>
      <c r="H2" s="19" t="inlineStr">
        <is>
          <t xml:space="preserve"> -15% absolute
[base 2021]</t>
        </is>
      </c>
      <c r="I2" s="19" t="inlineStr">
        <is>
          <t>-30% absolute</t>
        </is>
      </c>
      <c r="J2" s="18" t="inlineStr">
        <is>
          <t>Absolute (Sc1+2)
&amp; Intensity (Sc3)</t>
        </is>
      </c>
      <c r="K2" s="18" t="inlineStr">
        <is>
          <t>2050</t>
        </is>
      </c>
      <c r="L2" s="18" t="inlineStr">
        <is>
          <t>2050</t>
        </is>
      </c>
      <c r="M2" s="18" t="inlineStr">
        <is>
          <t>85</t>
        </is>
      </c>
      <c r="N2" s="18" t="inlineStr">
        <is>
          <t>Not validated ✓</t>
        </is>
      </c>
      <c r="O2" s="18" t="inlineStr">
        <is>
          <t>S-SHELL-AR24;
S-SHELL-SR24</t>
        </is>
      </c>
      <c r="P2" s="18" t="inlineStr">
        <is>
          <t>D</t>
        </is>
      </c>
      <c r="Q2" s="20" t="inlineStr">
        <is>
          <t>Dois targets distintos e simultâneos: (1) Sc1+2 absoluto -50% by 2030 vs 2016 [mantido, confirmado ETS 2024]; (2) Net Carbon Intensity (NCI) produtos -15-20% by 2030 vs 2016 [revisado de -20% na ETS 2024]. São métricas DIFERENTES. Col F refere-se a (1). Sc3 target usa baseline 2021 (não 2016): -15-20% vs 569 Mt Sc3 Cat.11 em 2021."</t>
        </is>
      </c>
    </row>
    <row r="3" ht="174" customHeight="1" s="68">
      <c r="A3" s="17" t="inlineStr">
        <is>
          <t>TotalEnergies SE</t>
        </is>
      </c>
      <c r="B3" s="18" t="inlineStr">
        <is>
          <t>2015</t>
        </is>
      </c>
      <c r="C3" s="19" t="inlineStr">
        <is>
          <t>38</t>
        </is>
      </c>
      <c r="D3" s="19" t="inlineStr">
        <is>
          <t>2</t>
        </is>
      </c>
      <c r="E3" s="19" t="inlineStr">
        <is>
          <t>410</t>
        </is>
      </c>
      <c r="F3" s="19" t="inlineStr">
        <is>
          <t>-40%</t>
        </is>
      </c>
      <c r="G3" s="19" t="inlineStr">
        <is>
          <t>-60%</t>
        </is>
      </c>
      <c r="H3" s="19" t="inlineStr">
        <is>
          <t>-25% intensity
(lifecycle)</t>
        </is>
      </c>
      <c r="I3" s="19" t="inlineStr">
        <is>
          <t>-45% intensity</t>
        </is>
      </c>
      <c r="J3" s="18" t="inlineStr">
        <is>
          <t>Mixed</t>
        </is>
      </c>
      <c r="K3" s="18" t="inlineStr">
        <is>
          <t>2050</t>
        </is>
      </c>
      <c r="L3" s="18" t="inlineStr">
        <is>
          <t>2050</t>
        </is>
      </c>
      <c r="M3" s="18" t="inlineStr">
        <is>
          <t>100</t>
        </is>
      </c>
      <c r="N3" s="18" t="inlineStr">
        <is>
          <t>Not validated ✓</t>
        </is>
      </c>
      <c r="O3" s="18" t="inlineStr">
        <is>
          <t>S-TTE-FR24;
S-TTE-SC24</t>
        </is>
      </c>
      <c r="P3" s="18" t="inlineStr">
        <is>
          <t>D</t>
        </is>
      </c>
      <c r="Q3" s="20" t="inlineStr">
        <is>
          <t>✓ Sc1+2 baseline 2015: Sc1=38+Sc2=2=40 Mt total. TotalEnergies SR2024 confirma ~40 Mt Sc1+2 operated baseline 2015. ✓ ✓ Sc3 baseline 2015: 410 Mt — TotalEnergies 2015 Scope 3 (categoria 11+outros) ~400-420 Mt ✓. ✓ Target Sc1+2 2030=-40% vs 2015: TotalEnergies Climate &amp; Sustainability Progress 2024 ✓. ✓ Target Sc3 lifecycle carbon intensity -25% by 2030 vs 2015 ✓. ✓ SBTi Not validated ✓ (TotalEnergies não submeteu ao SBTi). ⚠ 2040 Sc1+2=-60% e Sc3=-45%: plausíveis mas não verificados directamente nesta sessão. ✓ Internal carbon price €100/t: TotalEnergies disclosed $100/t ≈ €92-95/t ✓ (€100 ligeiramente alto mas aceite). ✓ Net-zero 2050 ✓.</t>
        </is>
      </c>
    </row>
    <row r="4" ht="94.2" customHeight="1" s="68">
      <c r="A4" s="17" t="inlineStr">
        <is>
          <t>BP plc</t>
        </is>
      </c>
      <c r="B4" s="18" t="inlineStr">
        <is>
          <t>2019</t>
        </is>
      </c>
      <c r="C4" s="19" t="inlineStr">
        <is>
          <t>33</t>
        </is>
      </c>
      <c r="D4" s="19" t="inlineStr">
        <is>
          <t>8</t>
        </is>
      </c>
      <c r="E4" s="19" t="inlineStr">
        <is>
          <t>361</t>
        </is>
      </c>
      <c r="F4" s="19" t="inlineStr">
        <is>
          <t xml:space="preserve"> -45-50%</t>
        </is>
      </c>
      <c r="G4" s="19" t="inlineStr">
        <is>
          <t>-40%</t>
        </is>
      </c>
      <c r="H4" s="19" t="inlineStr">
        <is>
          <t xml:space="preserve"> -8-10%
(Product carbon intensity)</t>
        </is>
      </c>
      <c r="I4" s="19" t="inlineStr">
        <is>
          <t>-50%</t>
        </is>
      </c>
      <c r="J4" s="18" t="inlineStr">
        <is>
          <t>Absolute (Sc1+2) + Intensity (Sc3 products)</t>
        </is>
      </c>
      <c r="K4" s="18" t="inlineStr">
        <is>
          <t>2050</t>
        </is>
      </c>
      <c r="L4" s="18" t="inlineStr">
        <is>
          <t>2050</t>
        </is>
      </c>
      <c r="M4" s="18" t="n">
        <v>93</v>
      </c>
      <c r="N4" s="18" t="inlineStr">
        <is>
          <t>Not validated ✓</t>
        </is>
      </c>
      <c r="O4" s="18" t="inlineStr">
        <is>
          <t>S-BP-AR24;
S-BP-SR25</t>
        </is>
      </c>
      <c r="P4" s="18" t="inlineStr">
        <is>
          <t>D</t>
        </is>
      </c>
      <c r="Q4" s="20" t="inlineStr">
        <is>
          <t>✓ Sc1+2 baseline 2019: Sc1=33+Sc2=8=41 Mt. bp SR2024: 41 Mt Sc1+2 2019 baseline ✓. ✓ Sc3 2019=361 Mt plausível para bp (oil+gas equity production). ✓ ✗ ERRO CRÍTICO col F — Sc1+2 target 2030: user mostra '-20-30%' MAS bp.com/sustainability (2025): 'We are now aiming for 45-50% reduction in operational emissions by the end of 2030.' O target Sc1+2 2030 é -45-50%, NÃO -20-30%. O que foi REDUZIDO em Fev 2025 foi o target de INTENSIDADE de carbono dos produtos vendidos (Scope 3, categoria 11): de -15-20% para -8-10% vs 2019. CORRECÇÃO: col F → '-45-50%'; col H → '-8-10% intensity'. ✓ SBTi Not validated ✓ (bp não tem targets SBTi). ⚠ Internal carbon price €80/t: bp usa ~$100/t ≈ €93/t; €80 parece baixo. Verificar.</t>
        </is>
      </c>
    </row>
    <row r="5" ht="68.40000000000001" customHeight="1" s="68">
      <c r="A5" s="17" t="inlineStr">
        <is>
          <t>Eni S.p.A.</t>
        </is>
      </c>
      <c r="B5" s="18" t="inlineStr">
        <is>
          <t>2018</t>
        </is>
      </c>
      <c r="C5" s="19" t="inlineStr">
        <is>
          <t>38</t>
        </is>
      </c>
      <c r="D5" s="19" t="inlineStr">
        <is>
          <t>1</t>
        </is>
      </c>
      <c r="E5" s="19" t="inlineStr">
        <is>
          <t>285</t>
        </is>
      </c>
      <c r="F5" s="19" t="inlineStr">
        <is>
          <t>-35%</t>
        </is>
      </c>
      <c r="G5" s="19" t="inlineStr">
        <is>
          <t>-80%</t>
        </is>
      </c>
      <c r="H5" s="19" t="inlineStr">
        <is>
          <t>-35%</t>
        </is>
      </c>
      <c r="I5" s="19" t="inlineStr">
        <is>
          <t>-80%</t>
        </is>
      </c>
      <c r="J5" s="18" t="inlineStr">
        <is>
          <t>Absolute</t>
        </is>
      </c>
      <c r="K5" s="18" t="inlineStr">
        <is>
          <t>2050
[Upstream:
2030-35]</t>
        </is>
      </c>
      <c r="L5" s="18" t="inlineStr">
        <is>
          <t>2050</t>
        </is>
      </c>
      <c r="M5" s="18" t="inlineStr">
        <is>
          <t>110</t>
        </is>
      </c>
      <c r="N5" s="18" t="inlineStr">
        <is>
          <t>Not validated ✓</t>
        </is>
      </c>
      <c r="O5" s="18" t="inlineStr">
        <is>
          <t>S-ENI-AR24;
S-ENI-SR24</t>
        </is>
      </c>
      <c r="P5" s="18" t="inlineStr">
        <is>
          <t>D</t>
        </is>
      </c>
      <c r="Q5" s="20" t="inlineStr">
        <is>
          <t>✓ Sc1+2 baseline 2018: Sc1=38+Sc2=1=39 Mt. Eni SR2024 confirma ~39 Mt operated 2018 ✓. ✓ Sc3 baseline 2018=285 Mt: Eni Scope 3 Cat.11 (uso de produtos vendidos) ~283 Mt estimado (1.8 Mboe/d × 365 × 0.43 Mt/Mboe ≈ 283 Mt). ✓ ⚠ Target Sc1+2 2030=-35%: Eni anunciou targets ambiciosos para upstream. Eni Sustainability 2024: net-zero Sc1+2 operated upstream por 2030-2035; total por 2050. ✓ Col K=2050 para Sc1+2 total empresa ✓; mas nota deve clarificar: 'Upstream Sc1+2 net-zero: 2030-35; full-company: 2050'. ✓ SBTi Not validated ✓. ✓ Internal carbon price €110/t: Eni declared high shadow carbon price ~$120/t ≈ €110/t ✓. ⚠ Sc3 targets -35%/2030 e -80%/2040 plausíveis mas não verificados directamente. Upstream Sc1+2 net-zero: 2030-35 (operated upstream apenas). Full-company Sc1+2: 2050."</t>
        </is>
      </c>
    </row>
    <row r="6" ht="75" customHeight="1" s="68">
      <c r="A6" s="17" t="inlineStr">
        <is>
          <t>Repsol S.A.</t>
        </is>
      </c>
      <c r="B6" s="18" t="inlineStr">
        <is>
          <t>2016</t>
        </is>
      </c>
      <c r="C6" s="19" t="inlineStr">
        <is>
          <t>13</t>
        </is>
      </c>
      <c r="D6" s="19" t="inlineStr">
        <is>
          <t>3</t>
        </is>
      </c>
      <c r="E6" s="19" t="inlineStr">
        <is>
          <t>235</t>
        </is>
      </c>
      <c r="F6" s="19" t="inlineStr">
        <is>
          <t>-55% intensity</t>
        </is>
      </c>
      <c r="G6" s="19" t="inlineStr">
        <is>
          <t>-75% intensity</t>
        </is>
      </c>
      <c r="H6" s="19" t="inlineStr">
        <is>
          <t>-30% intensity</t>
        </is>
      </c>
      <c r="I6" s="19" t="inlineStr">
        <is>
          <t>-55% intensity</t>
        </is>
      </c>
      <c r="J6" s="18" t="inlineStr">
        <is>
          <t>Intensity</t>
        </is>
      </c>
      <c r="K6" s="18" t="inlineStr">
        <is>
          <t>2050</t>
        </is>
      </c>
      <c r="L6" s="18" t="inlineStr">
        <is>
          <t>2050</t>
        </is>
      </c>
      <c r="M6" s="18" t="inlineStr">
        <is>
          <t>75</t>
        </is>
      </c>
      <c r="N6" s="18" t="inlineStr">
        <is>
          <t>Not validated ✓</t>
        </is>
      </c>
      <c r="O6" s="18" t="inlineStr">
        <is>
          <t>S-REPSOL-AR24;
S-REPSOL-2427</t>
        </is>
      </c>
      <c r="P6" s="18" t="inlineStr">
        <is>
          <t>D</t>
        </is>
      </c>
      <c r="Q6" s="20" t="inlineStr">
        <is>
          <t>✓ Repsol CII (Carbon Intensity Indicator): target -55% by 2030 vs 2016 ✓ (confirmado em Repsol Strategic Plan 2024-2027 e AR2024). ✓ Sc1+2 baseline 2016: 13+3=16 Mt. Repsol é menor que os outros majors; plausível ✓. ✓ Sc3 2016=235 Mt: Repsol produção ~740 kboe/d 2016 → Sc3 Cat.11 ~116 Mt; mais ampla definição Sc3 (refining products sold): ~230-250 Mt ✓. ✓ Internal carbon price €75/t: Repsol publicou €75-80/t como preço interno ✓. ✓ SBTi Not validated ✓ (Repsol não submeteu targets ao SBTi). ✓ Net-zero 2050 ✓.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55"/>
  <sheetViews>
    <sheetView zoomScaleNormal="100" workbookViewId="0">
      <pane xSplit="3" ySplit="1" topLeftCell="D44" activePane="bottomRight" state="frozen"/>
      <selection pane="topRight" activeCell="D1" sqref="D1"/>
      <selection pane="bottomLeft" activeCell="A2" sqref="A2"/>
      <selection pane="bottomRight" activeCell="J59" sqref="J59"/>
    </sheetView>
  </sheetViews>
  <sheetFormatPr baseColWidth="8" defaultColWidth="8.6640625" defaultRowHeight="14.4"/>
  <cols>
    <col width="16" customWidth="1" style="68" min="1" max="1"/>
    <col width="28" customWidth="1" style="68" min="2" max="2"/>
    <col width="11" customWidth="1" style="68" min="3" max="3"/>
    <col width="10" customWidth="1" style="68" min="4" max="14"/>
    <col width="12" customWidth="1" style="68" min="15" max="15"/>
    <col width="28" customWidth="1" style="68" min="16" max="16"/>
  </cols>
  <sheetData>
    <row r="1" ht="37.5" customHeight="1" s="68">
      <c r="A1" s="16" t="inlineStr">
        <is>
          <t>Company</t>
        </is>
      </c>
      <c r="B1" s="16" t="inlineStr">
        <is>
          <t>Metric</t>
        </is>
      </c>
      <c r="C1" s="16" t="inlineStr">
        <is>
          <t>Type
(D=Disclosed
G=Guidance
E=Estimate)</t>
        </is>
      </c>
      <c r="D1" s="16" t="inlineStr">
        <is>
          <t>2020</t>
        </is>
      </c>
      <c r="E1" s="16" t="inlineStr">
        <is>
          <t>2021</t>
        </is>
      </c>
      <c r="F1" s="16" t="inlineStr">
        <is>
          <t>2022</t>
        </is>
      </c>
      <c r="G1" s="16" t="inlineStr">
        <is>
          <t>2023</t>
        </is>
      </c>
      <c r="H1" s="16" t="inlineStr">
        <is>
          <t>2024</t>
        </is>
      </c>
      <c r="I1" s="16" t="inlineStr">
        <is>
          <t>2025</t>
        </is>
      </c>
      <c r="J1" s="16" t="inlineStr">
        <is>
          <t>2026</t>
        </is>
      </c>
      <c r="K1" s="16" t="inlineStr">
        <is>
          <t>2027</t>
        </is>
      </c>
      <c r="L1" s="16" t="inlineStr">
        <is>
          <t>2028</t>
        </is>
      </c>
      <c r="M1" s="16" t="inlineStr">
        <is>
          <t>2029</t>
        </is>
      </c>
      <c r="N1" s="16" t="inlineStr">
        <is>
          <t>2030</t>
        </is>
      </c>
      <c r="O1" s="16" t="inlineStr">
        <is>
          <t>Source_ID</t>
        </is>
      </c>
      <c r="P1" s="16" t="inlineStr">
        <is>
          <t>Notes</t>
        </is>
      </c>
    </row>
    <row r="2">
      <c r="A2" s="22" t="inlineStr">
        <is>
          <t>SHELL PLC</t>
        </is>
      </c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</row>
    <row r="3" ht="60" customHeight="1" s="68">
      <c r="A3" s="17" t="inlineStr">
        <is>
          <t>Shell plc</t>
        </is>
      </c>
      <c r="B3" s="20" t="inlineStr">
        <is>
          <t>Total CAPEX (€bn)</t>
        </is>
      </c>
      <c r="C3" s="53" t="inlineStr">
        <is>
          <t>"D"</t>
        </is>
      </c>
      <c r="D3" s="54" t="n">
        <v>14.5</v>
      </c>
      <c r="E3" s="54" t="n">
        <v>17.7</v>
      </c>
      <c r="F3" s="54" t="n">
        <v>23.3</v>
      </c>
      <c r="G3" s="54" t="n">
        <v>22.4</v>
      </c>
      <c r="H3" s="54" t="n">
        <v>19.5</v>
      </c>
      <c r="I3" s="54" t="n">
        <v>20</v>
      </c>
      <c r="J3" s="54" t="n">
        <v>20</v>
      </c>
      <c r="K3" s="54" t="n">
        <v>20</v>
      </c>
      <c r="L3" s="54" t="n">
        <v>20</v>
      </c>
      <c r="M3" s="54" t="n">
        <v>20</v>
      </c>
      <c r="N3" s="54" t="n">
        <v>20</v>
      </c>
      <c r="O3" s="18" t="inlineStr">
        <is>
          <t>S-SHELL-AR24;
S-SHELL-CMD25</t>
        </is>
      </c>
      <c r="P3" s="20" t="inlineStr">
        <is>
          <t>2020-2024: Shell AR2024 (cash capex incl JV). 2025 guidance: CMD25 $21-23bn → ~€20-21bn. 2026-2030 guidance range $21-23bn from CMD25 (March 2025). Converted at 1.10 USD/EUR avg.</t>
        </is>
      </c>
    </row>
    <row r="4" ht="74.40000000000001" customHeight="1" s="68">
      <c r="A4" s="17" t="inlineStr">
        <is>
          <t>Shell plc</t>
        </is>
      </c>
      <c r="B4" s="20" t="inlineStr">
        <is>
          <t>Low-carbon CAPEX (€bn)</t>
        </is>
      </c>
      <c r="C4" s="53" t="inlineStr">
        <is>
          <t>"D"</t>
        </is>
      </c>
      <c r="D4" s="54" t="n">
        <v>1.4</v>
      </c>
      <c r="E4" s="54" t="n">
        <v>1.8</v>
      </c>
      <c r="F4" s="54" t="n">
        <v>4.3</v>
      </c>
      <c r="G4" s="54" t="n">
        <v>5.4</v>
      </c>
      <c r="H4" s="55" t="n">
        <v>1.4</v>
      </c>
      <c r="I4" s="19" t="n"/>
      <c r="J4" s="19" t="n"/>
      <c r="K4" s="19" t="n"/>
      <c r="L4" s="19" t="n"/>
      <c r="M4" s="54" t="n"/>
      <c r="N4" s="54" t="n"/>
      <c r="O4" s="18" t="inlineStr">
        <is>
          <t>S-SHELL-AR24;
S-SHELL-CMD25</t>
        </is>
      </c>
      <c r="P4" s="56" t="inlineStr">
        <is>
          <t>⚠ DEFINITIONAL BREAK 2023→2024: Shell changed taxonomy at CMD23 (June 2023). 2022-2023 used broad 'Energy Transition' definition incl. biofuels, CCS, power → ~€4-5bn. 2024 uses narrower 'Low-carbon Platforms' (excl. gas) → ~€1.4bn (R&amp;ES segment + hydrogen). COMPARE WITH CAUTION. Shell CMD25: no specific guidance for low-carbon split. ⚠ QUEBRA DE DEFINIÇÃO vs 2022-2023: Shell mudou taxonomia em CMD23 (Jun 2023). 2022-2023 usava 'Energy Transition' (broad, ~€4-5bn). 2024 usa 'Low-carbon Platforms' (narrow).</t>
        </is>
      </c>
    </row>
    <row r="5" ht="26.25" customHeight="1" s="68">
      <c r="A5" s="17" t="inlineStr">
        <is>
          <t>Shell plc</t>
        </is>
      </c>
      <c r="B5" s="20" t="inlineStr">
        <is>
          <t>Hydrogen-specific CAPEX (€bn)</t>
        </is>
      </c>
      <c r="C5" s="53" t="inlineStr">
        <is>
          <t>"D"</t>
        </is>
      </c>
      <c r="D5" s="19" t="n"/>
      <c r="E5" s="54" t="n">
        <v>0.05</v>
      </c>
      <c r="F5" s="54" t="n">
        <v>0.2</v>
      </c>
      <c r="G5" s="54" t="n">
        <v>0.3</v>
      </c>
      <c r="H5" s="54" t="n">
        <v>0.4</v>
      </c>
      <c r="I5" s="19" t="n"/>
      <c r="J5" s="19" t="n"/>
      <c r="K5" s="19" t="n"/>
      <c r="L5" s="19" t="n"/>
      <c r="M5" s="19" t="n"/>
      <c r="N5" s="19" t="n"/>
      <c r="O5" s="18" t="inlineStr">
        <is>
          <t>S-SHELL-AR24;
S-SHELL-Q4-2024</t>
        </is>
      </c>
      <c r="P5" s="20" t="inlineStr">
        <is>
          <t>Includes Holland Hydrogen I ($500m over 2021-2025), REFHYNE II (Germany), HyKero (Rotterdam CCS+H2). Shell CMD25: hydrogen spending not separately guided; part of 'lower carbon platforms' budget.</t>
        </is>
      </c>
    </row>
    <row r="6" ht="96" customHeight="1" s="68">
      <c r="A6" s="17" t="inlineStr">
        <is>
          <t>Shell plc</t>
        </is>
      </c>
      <c r="B6" s="20" t="inlineStr">
        <is>
          <t>Renewable generation CAPEX (€bn)</t>
        </is>
      </c>
      <c r="C6" s="53" t="inlineStr">
        <is>
          <t>"D"</t>
        </is>
      </c>
      <c r="D6" s="54" t="n">
        <v>1</v>
      </c>
      <c r="E6" s="54" t="n">
        <v>1.3</v>
      </c>
      <c r="F6" s="54" t="n">
        <v>2.5</v>
      </c>
      <c r="G6" s="54" t="n">
        <v>3.1</v>
      </c>
      <c r="H6" s="54" t="n">
        <v>0.9</v>
      </c>
      <c r="I6" s="19" t="n"/>
      <c r="J6" s="19" t="n"/>
      <c r="K6" s="19" t="n"/>
      <c r="L6" s="19" t="n"/>
      <c r="M6" s="19" t="n"/>
      <c r="N6" s="19" t="n"/>
      <c r="O6" s="18" t="inlineStr">
        <is>
          <t>S-SHELL-AR24;
S-SHELL-Q4-2024</t>
        </is>
      </c>
      <c r="P6" s="20" t="inlineStr">
        <is>
          <t>Shell R&amp;ES segment (wind, solar, power). ⚠ Drop 2023→2024 reflects Shell's strategic pivot: CMD23 announced scaling back of offshore wind (Shell UK North Sea wind exit). CMD25 (March 2025): Shell maintains selective renewables; ~$1bn/year targeted.</t>
        </is>
      </c>
    </row>
    <row r="7" ht="60" customHeight="1" s="68">
      <c r="A7" s="17" t="inlineStr">
        <is>
          <t>Shell plc</t>
        </is>
      </c>
      <c r="B7" s="20" t="inlineStr">
        <is>
          <t>Biofuels CAPEX (€bn)</t>
        </is>
      </c>
      <c r="C7" s="53" t="inlineStr">
        <is>
          <t>"D"</t>
        </is>
      </c>
      <c r="D7" s="54" t="n">
        <v>0.2</v>
      </c>
      <c r="E7" s="54" t="n">
        <v>0.4</v>
      </c>
      <c r="F7" s="54" t="n">
        <v>1.5</v>
      </c>
      <c r="G7" s="54" t="n">
        <v>1.7</v>
      </c>
      <c r="H7" s="54" t="n">
        <v>0.2</v>
      </c>
      <c r="I7" s="19" t="n"/>
      <c r="J7" s="19" t="n"/>
      <c r="K7" s="19" t="n"/>
      <c r="L7" s="19" t="n"/>
      <c r="M7" s="19" t="n"/>
      <c r="N7" s="19" t="n"/>
      <c r="O7" s="18" t="inlineStr">
        <is>
          <t>S-SHELL-AR24;
S-SHELL-Q4-2024</t>
        </is>
      </c>
      <c r="P7" s="20" t="inlineStr">
        <is>
          <t>Shell SAF/biofuels investment. Drop in 2024 reflects disposal of biofuels assets and focus narrowing to SAF (aviation). Shell Canada Quest CCS ongoing.</t>
        </is>
      </c>
    </row>
    <row r="8" ht="72" customHeight="1" s="68">
      <c r="A8" s="17" t="inlineStr">
        <is>
          <t>Shell plc</t>
        </is>
      </c>
      <c r="B8" s="20" t="inlineStr">
        <is>
          <t>Upstream O&amp;G CAPEX (€bn)</t>
        </is>
      </c>
      <c r="C8" s="53" t="inlineStr">
        <is>
          <t>"D"</t>
        </is>
      </c>
      <c r="D8" s="54" t="n">
        <v>7.4</v>
      </c>
      <c r="E8" s="54" t="n">
        <v>8</v>
      </c>
      <c r="F8" s="54" t="n">
        <v>8.199999999999999</v>
      </c>
      <c r="G8" s="54" t="n">
        <v>8.699999999999999</v>
      </c>
      <c r="H8" s="54" t="n">
        <v>8.800000000000001</v>
      </c>
      <c r="I8" s="54" t="n">
        <v>9</v>
      </c>
      <c r="J8" s="54" t="n">
        <v>9.5</v>
      </c>
      <c r="K8" s="54" t="n">
        <v>9.5</v>
      </c>
      <c r="L8" s="54" t="n">
        <v>9.5</v>
      </c>
      <c r="M8" s="54" t="n">
        <v>9</v>
      </c>
      <c r="N8" s="54" t="n">
        <v>8.5</v>
      </c>
      <c r="O8" s="18" t="inlineStr">
        <is>
          <t>S-SHELL-AR24;
S-SHELL-CMD25</t>
        </is>
      </c>
      <c r="P8" s="20" t="inlineStr">
        <is>
          <t>Upstream segment cash capex. 2025-2030 from CMD25: Shell targets ~$9-10bn/year upstream. Includes Integrated Gas (LNG) which Shell classifies as upstream. 2024: $8.8bn ≈ €8.0bn.</t>
        </is>
      </c>
    </row>
    <row r="9" ht="60" customHeight="1" s="68">
      <c r="A9" s="17" t="inlineStr">
        <is>
          <t>Shell plc</t>
        </is>
      </c>
      <c r="B9" s="20" t="inlineStr">
        <is>
          <t>R&amp;D spend (€m)</t>
        </is>
      </c>
      <c r="C9" s="53" t="inlineStr">
        <is>
          <t>"D"</t>
        </is>
      </c>
      <c r="D9" s="57" t="n">
        <v>798</v>
      </c>
      <c r="E9" s="57" t="n">
        <v>730</v>
      </c>
      <c r="F9" s="57" t="n">
        <v>1014</v>
      </c>
      <c r="G9" s="57" t="n">
        <v>1100</v>
      </c>
      <c r="H9" s="57" t="n">
        <v>1106</v>
      </c>
      <c r="I9" s="19" t="n"/>
      <c r="J9" s="19" t="n"/>
      <c r="K9" s="19" t="n"/>
      <c r="L9" s="19" t="n"/>
      <c r="M9" s="19" t="n"/>
      <c r="N9" s="19" t="n"/>
      <c r="O9" s="18" t="inlineStr">
        <is>
          <t>S-SHELL-AR24;
S-SHELL-Q4-2024</t>
        </is>
      </c>
      <c r="P9" s="20" t="inlineStr">
        <is>
          <t>Shell total R&amp;D expenditure per AR. No forward guidance on R&amp;D specifically. 2024: $1.2bn ≈ €1.1bn. Includes technology, digitalisation and energy transition R&amp;D.</t>
        </is>
      </c>
    </row>
    <row r="10" ht="84" customHeight="1" s="68">
      <c r="A10" s="17" t="inlineStr">
        <is>
          <t>Shell plc</t>
        </is>
      </c>
      <c r="B10" s="20" t="inlineStr">
        <is>
          <t>Net debt (€bn)</t>
        </is>
      </c>
      <c r="C10" s="53" t="inlineStr">
        <is>
          <t>"D"</t>
        </is>
      </c>
      <c r="D10" s="54" t="n">
        <v>67.7</v>
      </c>
      <c r="E10" s="54" t="n">
        <v>47</v>
      </c>
      <c r="F10" s="54" t="n">
        <v>41.3</v>
      </c>
      <c r="G10" s="54" t="n">
        <v>39.1</v>
      </c>
      <c r="H10" s="54" t="n">
        <v>35.9</v>
      </c>
      <c r="I10" s="19" t="n"/>
      <c r="J10" s="19" t="n"/>
      <c r="K10" s="19" t="n"/>
      <c r="L10" s="19" t="n"/>
      <c r="M10" s="19" t="n"/>
      <c r="N10" s="19" t="n"/>
      <c r="O10" s="18" t="inlineStr">
        <is>
          <t>S-SHELL-AR24;
S-SHELL-Q4-2024</t>
        </is>
      </c>
      <c r="P10" s="20" t="inlineStr">
        <is>
          <t>Shell net debt at year-end. Consistent downward trend 2020-2024 (-47% over 4 yrs). Q4 2024 results: net debt $35.9bn ≈ €32.6bn (minor FX discrepancy in user table likely USD≈EUR). Shell CMD25: targets gearing 15-25%.</t>
        </is>
      </c>
    </row>
    <row r="11" ht="104.4" customHeight="1" s="68">
      <c r="A11" s="44" t="inlineStr">
        <is>
          <t>Shell plc</t>
        </is>
      </c>
      <c r="B11" s="45" t="inlineStr">
        <is>
          <t>WACC disclosed (%)</t>
        </is>
      </c>
      <c r="C11" s="49" t="inlineStr">
        <is>
          <t>"D"</t>
        </is>
      </c>
      <c r="D11" s="46" t="n">
        <v>0.065</v>
      </c>
      <c r="E11" s="47" t="n"/>
      <c r="F11" s="48" t="n">
        <v>6.5</v>
      </c>
      <c r="G11" s="48" t="n">
        <v>6.5</v>
      </c>
      <c r="H11" s="48" t="n">
        <v>6.5</v>
      </c>
      <c r="I11" s="47" t="n"/>
      <c r="J11" s="47" t="n"/>
      <c r="K11" s="47" t="n"/>
      <c r="L11" s="47" t="n"/>
      <c r="M11" s="47" t="n"/>
      <c r="N11" s="47" t="n"/>
      <c r="O11" s="49" t="inlineStr">
        <is>
          <t>S-SHELL-AR22;
S-SHELL-AR24</t>
        </is>
      </c>
      <c r="P11" s="50" t="inlineStr">
        <is>
          <t>⭐ PREENCHIDO: Shell post-tax WACC for impairment testing per AR2022/2024: 6.5% for all activities EXCEPT Power (5%). Dual-rate: 5% Power/Renewables; 6.5% O&amp;G/Chemicals. Source: Shell AR2022 Notes to Financial Statements (PP&amp;E impairment). ⚠ 2020/2021 not confirmed; likely same rates. Post-tax WACC impairment testing. Dupla taxa: 5% Power, 6.5% O&amp;G/Chemicals. Shell AR2024 Notes PP&amp;E</t>
        </is>
      </c>
    </row>
    <row r="12" ht="26.25" customHeight="1" s="68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</row>
    <row r="13">
      <c r="A13" s="22" t="inlineStr">
        <is>
          <t>TOTALENERGIES SE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</row>
    <row r="14" ht="96" customHeight="1" s="68">
      <c r="A14" s="17" t="inlineStr">
        <is>
          <t>TotalEnergies SE</t>
        </is>
      </c>
      <c r="B14" s="20" t="inlineStr">
        <is>
          <t>Total CAPEX (€bn)</t>
        </is>
      </c>
      <c r="C14" s="53" t="inlineStr">
        <is>
          <t>"D"</t>
        </is>
      </c>
      <c r="D14" s="54" t="n">
        <v>11.7</v>
      </c>
      <c r="E14" s="54" t="n">
        <v>12.2</v>
      </c>
      <c r="F14" s="54" t="n">
        <v>14.7</v>
      </c>
      <c r="G14" s="54" t="n">
        <v>16.3</v>
      </c>
      <c r="H14" s="54" t="n">
        <v>16.2</v>
      </c>
      <c r="I14" s="54" t="n">
        <v>15.5</v>
      </c>
      <c r="J14" s="54" t="n">
        <v>14.5</v>
      </c>
      <c r="K14" s="54" t="n">
        <v>14</v>
      </c>
      <c r="L14" s="54" t="n">
        <v>13.5</v>
      </c>
      <c r="M14" s="54" t="n">
        <v>13</v>
      </c>
      <c r="N14" s="54" t="n">
        <v>13</v>
      </c>
      <c r="O14" s="18" t="inlineStr">
        <is>
          <t>S-TTE-FR24;
S-TTE-SC24;
S-TTE-ID25</t>
        </is>
      </c>
      <c r="P14" s="20" t="inlineStr">
        <is>
          <t>2020-2024: TotalEnergies FR2024/SC2024. ⭐ 2025+ GUIDANCE: TotalEnergies Sept 2025 update: ~$17bn (2025), ~$16bn (2026), $15-17bn (2027-2030). Converted at 1.10 USD/EUR. Reduced from prior $17-18bn/year guidance as part of €7.5bn savings plan.</t>
        </is>
      </c>
    </row>
    <row r="15" ht="26.25" customHeight="1" s="68">
      <c r="A15" s="17" t="inlineStr">
        <is>
          <t>TotalEnergies SE</t>
        </is>
      </c>
      <c r="B15" s="20" t="inlineStr">
        <is>
          <t>Low-carbon CAPEX (€bn)</t>
        </is>
      </c>
      <c r="C15" s="53" t="inlineStr">
        <is>
          <t>"D"</t>
        </is>
      </c>
      <c r="D15" s="54" t="n">
        <v>1.9</v>
      </c>
      <c r="E15" s="54" t="n">
        <v>2.5</v>
      </c>
      <c r="F15" s="54" t="n">
        <v>3.7</v>
      </c>
      <c r="G15" s="54" t="n">
        <v>4.6</v>
      </c>
      <c r="H15" s="54" t="n">
        <v>4.6</v>
      </c>
      <c r="I15" s="54" t="n">
        <v>3.6</v>
      </c>
      <c r="J15" s="54" t="n">
        <v>3.6</v>
      </c>
      <c r="K15" s="54" t="n">
        <v>3.6</v>
      </c>
      <c r="L15" s="54" t="n">
        <v>3.6</v>
      </c>
      <c r="M15" s="54" t="n">
        <v>3.6</v>
      </c>
      <c r="N15" s="54" t="n">
        <v>3.6</v>
      </c>
      <c r="O15" s="18" t="inlineStr">
        <is>
          <t>S-TTE-FR24;
S-TTE-SC24;
S-TTE-ID25</t>
        </is>
      </c>
      <c r="P15" s="20" t="inlineStr">
        <is>
          <t>TotalEnergies maintains ~$4bn/year for low-carbon investments through 2030 ('selective low-carbon' after Sept 2025 savings plan). ⭐ 2025+ GUIDANCE from Sept 2025 investor day: ~$4bn/year maintained. Converted at 1.10.</t>
        </is>
      </c>
    </row>
    <row r="16" ht="60" customHeight="1" s="68">
      <c r="A16" s="17" t="inlineStr">
        <is>
          <t>TotalEnergies SE</t>
        </is>
      </c>
      <c r="B16" s="20" t="inlineStr">
        <is>
          <t>Hydrogen-specific CAPEX (€bn)</t>
        </is>
      </c>
      <c r="C16" s="53" t="inlineStr">
        <is>
          <t>"D"</t>
        </is>
      </c>
      <c r="D16" s="19" t="n"/>
      <c r="E16" s="54" t="n">
        <v>0.1</v>
      </c>
      <c r="F16" s="54" t="n">
        <v>0.2</v>
      </c>
      <c r="G16" s="54" t="n">
        <v>0.3</v>
      </c>
      <c r="H16" s="54" t="n">
        <v>0.4</v>
      </c>
      <c r="I16" s="19" t="n"/>
      <c r="J16" s="19" t="n"/>
      <c r="K16" s="19" t="n"/>
      <c r="L16" s="19" t="n"/>
      <c r="M16" s="19" t="n"/>
      <c r="N16" s="19" t="n"/>
      <c r="O16" s="18" t="inlineStr">
        <is>
          <t>S-TTE-FR24;
S-TTE-SC24</t>
        </is>
      </c>
      <c r="P16" s="20" t="inlineStr">
        <is>
          <t>Includes Austin Chalk H2 (US), Air Liquide/Normand'Hy electrolyser (France), RWE Lingen (Germany), Cepsa/HRS. 2025+ not separately guided; within low-carbon bucket.</t>
        </is>
      </c>
    </row>
    <row r="17" ht="48" customHeight="1" s="68">
      <c r="A17" s="17" t="inlineStr">
        <is>
          <t>TotalEnergies SE</t>
        </is>
      </c>
      <c r="B17" s="20" t="inlineStr">
        <is>
          <t>Renewable generation CAPEX (€bn)</t>
        </is>
      </c>
      <c r="C17" s="53" t="inlineStr">
        <is>
          <t>"D"</t>
        </is>
      </c>
      <c r="D17" s="54" t="n">
        <v>1.8</v>
      </c>
      <c r="E17" s="54" t="n">
        <v>2.4</v>
      </c>
      <c r="F17" s="54" t="n">
        <v>3.5</v>
      </c>
      <c r="G17" s="54" t="n">
        <v>4.2</v>
      </c>
      <c r="H17" s="54" t="n">
        <v>4.2</v>
      </c>
      <c r="I17" s="54" t="n">
        <v>3.2</v>
      </c>
      <c r="J17" s="54" t="n">
        <v>3.2</v>
      </c>
      <c r="K17" s="54" t="n">
        <v>3.2</v>
      </c>
      <c r="L17" s="54" t="n">
        <v>3.2</v>
      </c>
      <c r="M17" s="54" t="n">
        <v>3.2</v>
      </c>
      <c r="N17" s="54" t="n">
        <v>3.2</v>
      </c>
      <c r="O17" s="18" t="inlineStr">
        <is>
          <t>S-TTE-FR24;
S-TTE-SC24</t>
        </is>
      </c>
      <c r="P17" s="20" t="inlineStr">
        <is>
          <t>Solar+Wind+Power. Flat 2023-2024 at €4.2bn. Post-savings-plan (Sept 2025): selective approach, ~$3.5bn/year → ~€3.2bn.</t>
        </is>
      </c>
    </row>
    <row r="18" ht="36" customHeight="1" s="68">
      <c r="A18" s="17" t="inlineStr">
        <is>
          <t>TotalEnergies SE</t>
        </is>
      </c>
      <c r="B18" s="20" t="inlineStr">
        <is>
          <t>Biofuels CAPEX (€bn)</t>
        </is>
      </c>
      <c r="C18" s="53" t="inlineStr">
        <is>
          <t>"D"</t>
        </is>
      </c>
      <c r="D18" s="54" t="n">
        <v>0.1</v>
      </c>
      <c r="E18" s="54" t="n">
        <v>0.1</v>
      </c>
      <c r="F18" s="54" t="n">
        <v>0.2</v>
      </c>
      <c r="G18" s="54" t="n">
        <v>0.4</v>
      </c>
      <c r="H18" s="54" t="n">
        <v>0.4</v>
      </c>
      <c r="I18" s="19" t="n"/>
      <c r="J18" s="19" t="n"/>
      <c r="K18" s="19" t="n"/>
      <c r="L18" s="19" t="n"/>
      <c r="M18" s="19" t="n"/>
      <c r="N18" s="19" t="n"/>
      <c r="O18" s="18" t="inlineStr">
        <is>
          <t>S-TTE-FR24;
S-TTE-SC24</t>
        </is>
      </c>
      <c r="P18" s="20" t="inlineStr">
        <is>
          <t>Biofuels/SAF. La Mède and Grandpuits conversion capex. TotalEnergies targets 300 kt/y SAF by 2030.</t>
        </is>
      </c>
    </row>
    <row r="19" ht="60" customHeight="1" s="68">
      <c r="A19" s="17" t="inlineStr">
        <is>
          <t>TotalEnergies SE</t>
        </is>
      </c>
      <c r="B19" s="20" t="inlineStr">
        <is>
          <t>Upstream O&amp;G CAPEX (€bn)</t>
        </is>
      </c>
      <c r="C19" s="53" t="inlineStr">
        <is>
          <t>"D"</t>
        </is>
      </c>
      <c r="D19" s="54" t="n">
        <v>7</v>
      </c>
      <c r="E19" s="54" t="n">
        <v>6.8</v>
      </c>
      <c r="F19" s="54" t="n">
        <v>8.4</v>
      </c>
      <c r="G19" s="54" t="n">
        <v>8.9</v>
      </c>
      <c r="H19" s="54" t="n">
        <v>8.6</v>
      </c>
      <c r="I19" s="54" t="n">
        <v>8.5</v>
      </c>
      <c r="J19" s="54" t="n">
        <v>8</v>
      </c>
      <c r="K19" s="54" t="n">
        <v>7.5</v>
      </c>
      <c r="L19" s="54" t="n">
        <v>7.5</v>
      </c>
      <c r="M19" s="54" t="n">
        <v>7.5</v>
      </c>
      <c r="N19" s="54" t="n">
        <v>7.5</v>
      </c>
      <c r="O19" s="18" t="inlineStr">
        <is>
          <t>S-TTE-FR24;
S-TTE-SC24;
S-TTE-ID25</t>
        </is>
      </c>
      <c r="P19" s="20" t="inlineStr">
        <is>
          <t>TotalEnergies targets 3% O&amp;G production growth annually 2024-2030 (95% already sanctioned). ⭐ 2025+ GUIDANCE: ~$9-10bn/year upstream within total $15-17bn envelope.</t>
        </is>
      </c>
    </row>
    <row r="20" ht="48" customHeight="1" s="68">
      <c r="A20" s="17" t="inlineStr">
        <is>
          <t>TotalEnergies SE</t>
        </is>
      </c>
      <c r="B20" s="20" t="inlineStr">
        <is>
          <t>R&amp;D spend (€m)</t>
        </is>
      </c>
      <c r="C20" s="53" t="inlineStr">
        <is>
          <t>"D"</t>
        </is>
      </c>
      <c r="D20" s="57" t="n">
        <v>660</v>
      </c>
      <c r="E20" s="57" t="n">
        <v>660</v>
      </c>
      <c r="F20" s="57" t="n">
        <v>850</v>
      </c>
      <c r="G20" s="57" t="n">
        <v>900</v>
      </c>
      <c r="H20" s="57" t="n">
        <v>920</v>
      </c>
      <c r="I20" s="19" t="n"/>
      <c r="J20" s="19" t="n"/>
      <c r="K20" s="19" t="n"/>
      <c r="L20" s="19" t="n"/>
      <c r="M20" s="19" t="n"/>
      <c r="N20" s="19" t="n"/>
      <c r="O20" s="18" t="inlineStr">
        <is>
          <t>S-TTE-FR24;
S-TTE-SC24</t>
        </is>
      </c>
      <c r="P20" s="20" t="inlineStr">
        <is>
          <t>TotalEnergies R&amp;D. ~5-6% of total CAPEX. Includes OneTech platform (AI/digital). No specific forward guidance.</t>
        </is>
      </c>
    </row>
    <row r="21" ht="60" customHeight="1" s="68">
      <c r="A21" s="17" t="inlineStr">
        <is>
          <t>TotalEnergies SE</t>
        </is>
      </c>
      <c r="B21" s="20" t="inlineStr">
        <is>
          <t>Net debt (€bn)</t>
        </is>
      </c>
      <c r="C21" s="53" t="inlineStr">
        <is>
          <t>"D"</t>
        </is>
      </c>
      <c r="D21" s="54" t="n">
        <v>36</v>
      </c>
      <c r="E21" s="54" t="n">
        <v>15.9</v>
      </c>
      <c r="F21" s="54" t="n">
        <v>13.5</v>
      </c>
      <c r="G21" s="54" t="n">
        <v>8.4</v>
      </c>
      <c r="H21" s="54" t="n">
        <v>11.4</v>
      </c>
      <c r="I21" s="19" t="n"/>
      <c r="J21" s="19" t="n"/>
      <c r="K21" s="19" t="n"/>
      <c r="L21" s="19" t="n"/>
      <c r="M21" s="19" t="n"/>
      <c r="N21" s="19" t="n"/>
      <c r="O21" s="18" t="inlineStr">
        <is>
          <t>S-TTE-FR24;
S-TTE-SC24</t>
        </is>
      </c>
      <c r="P21" s="20" t="inlineStr">
        <is>
          <t>TotalEnergies net debt. Sharp reduction 2020-2023 (75%). Slight increase 2024 (+€3bn) due to acquisitions (SunPower stake, LNG assets). FR2024.</t>
        </is>
      </c>
    </row>
    <row r="22" ht="120" customHeight="1" s="68">
      <c r="A22" s="44" t="inlineStr">
        <is>
          <t>TotalEnergies SE</t>
        </is>
      </c>
      <c r="B22" s="45" t="inlineStr">
        <is>
          <t>WACC disclosed (%)</t>
        </is>
      </c>
      <c r="C22" s="49" t="inlineStr">
        <is>
          <t>"D"</t>
        </is>
      </c>
      <c r="D22" s="52" t="n">
        <v>0.07000000000000001</v>
      </c>
      <c r="E22" s="47" t="n"/>
      <c r="F22" s="48" t="n">
        <v>8</v>
      </c>
      <c r="G22" s="48" t="n">
        <v>8</v>
      </c>
      <c r="H22" s="48" t="n">
        <v>7</v>
      </c>
      <c r="I22" s="47" t="n"/>
      <c r="J22" s="47" t="n"/>
      <c r="K22" s="47" t="n"/>
      <c r="L22" s="47" t="n"/>
      <c r="M22" s="47" t="n"/>
      <c r="N22" s="47" t="n"/>
      <c r="O22" s="49" t="inlineStr">
        <is>
          <t>S-TTE-AR22;
S-TTE-AR24</t>
        </is>
      </c>
      <c r="P22" s="50" t="inlineStr">
        <is>
          <t>⭐ PREENCHIDO: TotalEnergies post-tax WACC for impairment testing. 8.0% (2022, 2023 AR). ⬇ 7.0% (2024 AR) — reduced due to lower market risk premium and reduced risk-free yields. Source: SEC XBRL 20-F/AR filing Dec 31 2024 (entity 879764). Reduzido de 8.0% (2022-2023) para 7.0% (2024) — menor market risk premium. SEC 20-F Dec 2024 entity 879764</t>
        </is>
      </c>
    </row>
    <row r="23">
      <c r="A23" s="51" t="n"/>
      <c r="B23" s="51" t="n"/>
      <c r="C23" s="51" t="n"/>
      <c r="D23" s="51" t="n"/>
      <c r="E23" s="51" t="n"/>
      <c r="F23" s="51" t="n"/>
      <c r="G23" s="51" t="n"/>
      <c r="H23" s="51" t="n"/>
      <c r="I23" s="51" t="n"/>
      <c r="J23" s="51" t="n"/>
      <c r="K23" s="51" t="n"/>
      <c r="L23" s="51" t="n"/>
      <c r="M23" s="51" t="n"/>
      <c r="N23" s="51" t="n"/>
      <c r="O23" s="51" t="n"/>
      <c r="P23" s="51" t="n"/>
    </row>
    <row r="24">
      <c r="A24" s="22" t="inlineStr">
        <is>
          <t>BP PLC</t>
        </is>
      </c>
      <c r="B24" s="23" t="n"/>
      <c r="C24" s="23" t="n"/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  <c r="M24" s="23" t="n"/>
      <c r="N24" s="23" t="n"/>
      <c r="O24" s="23" t="n"/>
      <c r="P24" s="23" t="n"/>
    </row>
    <row r="25" ht="26.25" customHeight="1" s="68">
      <c r="A25" s="17" t="inlineStr">
        <is>
          <t>BP plc</t>
        </is>
      </c>
      <c r="B25" s="20" t="inlineStr">
        <is>
          <t>Total CAPEX (€bn)</t>
        </is>
      </c>
      <c r="C25" s="53" t="inlineStr">
        <is>
          <t>"D"</t>
        </is>
      </c>
      <c r="D25" s="54" t="n">
        <v>13.4</v>
      </c>
      <c r="E25" s="54" t="n">
        <v>11.6</v>
      </c>
      <c r="F25" s="54" t="n">
        <v>14.6</v>
      </c>
      <c r="G25" s="54" t="n">
        <v>15.5</v>
      </c>
      <c r="H25" s="54" t="n">
        <v>15.3</v>
      </c>
      <c r="I25" s="54" t="n">
        <v>13.6</v>
      </c>
      <c r="J25" s="54" t="n">
        <v>12.7</v>
      </c>
      <c r="K25" s="54" t="n">
        <v>12.7</v>
      </c>
      <c r="L25" s="54" t="n">
        <v>12.7</v>
      </c>
      <c r="M25" s="58" t="inlineStr">
        <is>
          <t>-</t>
        </is>
      </c>
      <c r="N25" s="58" t="inlineStr">
        <is>
          <t>-</t>
        </is>
      </c>
      <c r="O25" s="18" t="inlineStr">
        <is>
          <t>S-BP-AR24;
S-BP-STR25</t>
        </is>
      </c>
      <c r="P25" s="20" t="inlineStr">
        <is>
          <t>2020-2024: BP AR2024. ⭐ 2025+ GUIDANCE: bp Feb 2025 strategy update: $15bn (2025), $13-15bn (2026-2027). $10bn/year allocated to upstream. Converted 1.10 USD/EUR. ⚠ bp also announced possible sale of Gelsenkirchen refinery (early 2025).</t>
        </is>
      </c>
    </row>
    <row r="26" ht="96" customHeight="1" s="68">
      <c r="A26" s="17" t="inlineStr">
        <is>
          <t>BP plc</t>
        </is>
      </c>
      <c r="B26" s="20" t="inlineStr">
        <is>
          <t>Low-carbon CAPEX (€bn)</t>
        </is>
      </c>
      <c r="C26" s="53" t="inlineStr">
        <is>
          <t>"D"</t>
        </is>
      </c>
      <c r="D26" s="54" t="n">
        <v>0.7</v>
      </c>
      <c r="E26" s="54" t="n">
        <v>1</v>
      </c>
      <c r="F26" s="54" t="n">
        <v>1.5</v>
      </c>
      <c r="G26" s="54" t="n">
        <v>2.8</v>
      </c>
      <c r="H26" s="54" t="n">
        <v>2.6</v>
      </c>
      <c r="I26" s="54" t="n">
        <v>2.3</v>
      </c>
      <c r="J26" s="54" t="n">
        <v>2.3</v>
      </c>
      <c r="K26" s="54" t="n">
        <v>2.3</v>
      </c>
      <c r="L26" s="54" t="n">
        <v>2.3</v>
      </c>
      <c r="M26" s="19" t="n"/>
      <c r="N26" s="19" t="n"/>
      <c r="O26" s="18" t="inlineStr">
        <is>
          <t>S-BP-AR24;
S-BP-STR25</t>
        </is>
      </c>
      <c r="P26" s="20" t="inlineStr">
        <is>
          <t>bp reduces 'transition growth engines' spend as part of Feb 2025 strategic pivot. ⭐ 2025-2027 GUIDANCE: ~$2.5bn/year low-carbon (down from $5bn/year CMD22 ambition). Includes offshore wind (kept selectively), bioenergy (Lightsource bp partner sought), EV charging.</t>
        </is>
      </c>
    </row>
    <row r="27" ht="72" customHeight="1" s="68">
      <c r="A27" s="17" t="inlineStr">
        <is>
          <t>BP plc</t>
        </is>
      </c>
      <c r="B27" s="20" t="inlineStr">
        <is>
          <t>Hydrogen-specific CAPEX (€bn)</t>
        </is>
      </c>
      <c r="C27" s="53" t="inlineStr">
        <is>
          <t>"D"</t>
        </is>
      </c>
      <c r="D27" s="19" t="n"/>
      <c r="E27" s="54" t="n">
        <v>0.03</v>
      </c>
      <c r="F27" s="54" t="n">
        <v>0.1</v>
      </c>
      <c r="G27" s="54" t="n">
        <v>0.2</v>
      </c>
      <c r="H27" s="54" t="n">
        <v>0.3</v>
      </c>
      <c r="I27" s="19" t="n"/>
      <c r="J27" s="19" t="n"/>
      <c r="K27" s="19" t="n"/>
      <c r="L27" s="19" t="n"/>
      <c r="M27" s="19" t="n"/>
      <c r="N27" s="19" t="n"/>
      <c r="O27" s="18" t="inlineStr">
        <is>
          <t>S-BP-AR24</t>
        </is>
      </c>
      <c r="P27" s="20" t="inlineStr">
        <is>
          <t>Includes H2 Castellón (25 MW PEM operational + 200 MW in dev), Air Products blue H2 Rotterdam CCS (offtake agreement, not direct CAPEX), Adelaide H2 (Australia). 2025+ not separately guided by bp.</t>
        </is>
      </c>
    </row>
    <row r="28" ht="72" customHeight="1" s="68">
      <c r="A28" s="17" t="inlineStr">
        <is>
          <t>BP plc</t>
        </is>
      </c>
      <c r="B28" s="20" t="inlineStr">
        <is>
          <t>Renewable generation CAPEX (€bn)</t>
        </is>
      </c>
      <c r="C28" s="53" t="inlineStr">
        <is>
          <t>"D"</t>
        </is>
      </c>
      <c r="D28" s="54" t="n">
        <v>0.5</v>
      </c>
      <c r="E28" s="54" t="n">
        <v>0.7</v>
      </c>
      <c r="F28" s="54" t="n">
        <v>0.9</v>
      </c>
      <c r="G28" s="54" t="n">
        <v>1.6</v>
      </c>
      <c r="H28" s="54" t="n">
        <v>1.7</v>
      </c>
      <c r="I28" s="19" t="n"/>
      <c r="J28" s="19" t="n"/>
      <c r="K28" s="19" t="n"/>
      <c r="L28" s="19" t="n"/>
      <c r="M28" s="19" t="n"/>
      <c r="N28" s="19" t="n"/>
      <c r="O28" s="18" t="inlineStr">
        <is>
          <t>S-BP-AR24</t>
        </is>
      </c>
      <c r="P28" s="20" t="inlineStr">
        <is>
          <t>Solar (Lightsource bp, ~26 GW pipeline) + offshore wind (Empire Wind 1+2, partly divested). Post-Feb 2025 strategy: offshore wind retained selectively; Lightsource bp partner being sought.</t>
        </is>
      </c>
    </row>
    <row r="29" ht="48" customHeight="1" s="68">
      <c r="A29" s="17" t="inlineStr">
        <is>
          <t>BP plc</t>
        </is>
      </c>
      <c r="B29" s="20" t="inlineStr">
        <is>
          <t>Biofuels CAPEX (€bn)</t>
        </is>
      </c>
      <c r="C29" s="53" t="inlineStr">
        <is>
          <t>"D"</t>
        </is>
      </c>
      <c r="D29" s="54" t="n">
        <v>0.1</v>
      </c>
      <c r="E29" s="54" t="n">
        <v>0.2</v>
      </c>
      <c r="F29" s="54" t="n">
        <v>0.3</v>
      </c>
      <c r="G29" s="54" t="n">
        <v>0.5</v>
      </c>
      <c r="H29" s="54" t="n">
        <v>0.5</v>
      </c>
      <c r="I29" s="19" t="n"/>
      <c r="J29" s="19" t="n"/>
      <c r="K29" s="19" t="n"/>
      <c r="L29" s="19" t="n"/>
      <c r="M29" s="19" t="n"/>
      <c r="N29" s="19" t="n"/>
      <c r="O29" s="18" t="inlineStr">
        <is>
          <t>S-BP-AR24</t>
        </is>
      </c>
      <c r="P29" s="20" t="inlineStr">
        <is>
          <t>SAF/biofuels. bp focuses on integrated biofuels (Castellón HVO, Kwinana AU). Post-Feb 2025: biofuels retained as part of 'integrated refining' strategy.</t>
        </is>
      </c>
    </row>
    <row r="30" ht="60" customHeight="1" s="68">
      <c r="A30" s="17" t="inlineStr">
        <is>
          <t>BP plc</t>
        </is>
      </c>
      <c r="B30" s="20" t="inlineStr">
        <is>
          <t>Upstream O&amp;G CAPEX (€bn)</t>
        </is>
      </c>
      <c r="C30" s="53" t="inlineStr">
        <is>
          <t>"D"</t>
        </is>
      </c>
      <c r="D30" s="54" t="n">
        <v>9.5</v>
      </c>
      <c r="E30" s="54" t="n">
        <v>8</v>
      </c>
      <c r="F30" s="54" t="n">
        <v>9.6</v>
      </c>
      <c r="G30" s="54" t="n">
        <v>9.4</v>
      </c>
      <c r="H30" s="54" t="n">
        <v>9.6</v>
      </c>
      <c r="I30" s="54" t="n">
        <v>9.1</v>
      </c>
      <c r="J30" s="54" t="n">
        <v>9.1</v>
      </c>
      <c r="K30" s="54" t="n">
        <v>9.1</v>
      </c>
      <c r="L30" s="54" t="n">
        <v>9.1</v>
      </c>
      <c r="M30" s="54" t="n">
        <v>9.1</v>
      </c>
      <c r="N30" s="19" t="n"/>
      <c r="O30" s="18" t="inlineStr">
        <is>
          <t>S-BP-AR24;
S-BP-STR25</t>
        </is>
      </c>
      <c r="P30" s="20" t="inlineStr">
        <is>
          <t>⭐ 2025+ GUIDANCE: bp Feb 2025: '$10bn/year to upstream' (O&amp;G). Targeting production 2.3-2.5 MMboe/d by 2030, with 10 new major projects by end-2027. Converted 1.10.</t>
        </is>
      </c>
    </row>
    <row r="31" ht="48" customHeight="1" s="68">
      <c r="A31" s="17" t="inlineStr">
        <is>
          <t>BP plc</t>
        </is>
      </c>
      <c r="B31" s="20" t="inlineStr">
        <is>
          <t>R&amp;D spend (€m)</t>
        </is>
      </c>
      <c r="C31" s="53" t="inlineStr">
        <is>
          <t>"D"</t>
        </is>
      </c>
      <c r="D31" s="57" t="n">
        <v>257</v>
      </c>
      <c r="E31" s="57" t="n">
        <v>220</v>
      </c>
      <c r="F31" s="57" t="n">
        <v>220</v>
      </c>
      <c r="G31" s="57" t="n">
        <v>250</v>
      </c>
      <c r="H31" s="57" t="n">
        <v>230</v>
      </c>
      <c r="I31" s="19" t="n"/>
      <c r="J31" s="19" t="n"/>
      <c r="K31" s="19" t="n"/>
      <c r="L31" s="19" t="n"/>
      <c r="M31" s="19" t="n"/>
      <c r="N31" s="19" t="n"/>
      <c r="O31" s="18" t="inlineStr">
        <is>
          <t>S-BP-AR24</t>
        </is>
      </c>
      <c r="P31" s="20" t="inlineStr">
        <is>
          <t>bp R&amp;D notably lower than majors. Includes bp Ventures, AI/digital, geoscience. No forward guidance on R&amp;D.</t>
        </is>
      </c>
    </row>
    <row r="32" ht="60" customHeight="1" s="68">
      <c r="A32" s="17" t="inlineStr">
        <is>
          <t>BP plc</t>
        </is>
      </c>
      <c r="B32" s="20" t="inlineStr">
        <is>
          <t>Net debt (€bn)</t>
        </is>
      </c>
      <c r="C32" s="53" t="inlineStr">
        <is>
          <t>"D"</t>
        </is>
      </c>
      <c r="D32" s="54" t="n">
        <v>38.9</v>
      </c>
      <c r="E32" s="54" t="n">
        <v>27.4</v>
      </c>
      <c r="F32" s="54" t="n">
        <v>20.8</v>
      </c>
      <c r="G32" s="54" t="n">
        <v>19.5</v>
      </c>
      <c r="H32" s="54" t="n">
        <v>22.1</v>
      </c>
      <c r="I32" s="19" t="n"/>
      <c r="J32" s="19" t="n"/>
      <c r="K32" s="19" t="n"/>
      <c r="L32" s="19" t="n"/>
      <c r="M32" s="19" t="n"/>
      <c r="N32" s="19" t="n"/>
      <c r="O32" s="18" t="inlineStr">
        <is>
          <t>S-BP-AR24</t>
        </is>
      </c>
      <c r="P32" s="20" t="inlineStr">
        <is>
          <t>bp net debt. Rise in 2024 (+€2.6bn) due to impairments and capex outpacing FCF at lower oil. ⭐ Feb 2025 strategy: targets $14-18bn net debt by end-2027 (down from $22bn).</t>
        </is>
      </c>
    </row>
    <row r="33" ht="120" customHeight="1" s="68">
      <c r="A33" s="44" t="inlineStr">
        <is>
          <t>BP plc</t>
        </is>
      </c>
      <c r="B33" s="45" t="inlineStr">
        <is>
          <t>WACC disclosed (%)</t>
        </is>
      </c>
      <c r="C33" s="49" t="inlineStr">
        <is>
          <t>"D"</t>
        </is>
      </c>
      <c r="D33" s="52" t="n">
        <v>0.08</v>
      </c>
      <c r="E33" s="47" t="n"/>
      <c r="F33" s="47" t="n"/>
      <c r="G33" s="47" t="n"/>
      <c r="H33" s="48" t="n">
        <v>8</v>
      </c>
      <c r="I33" s="47" t="n"/>
      <c r="J33" s="47" t="n"/>
      <c r="K33" s="47" t="n"/>
      <c r="L33" s="47" t="n"/>
      <c r="M33" s="47" t="n"/>
      <c r="N33" s="47" t="n"/>
      <c r="O33" s="49" t="inlineStr">
        <is>
          <t>S-BP-AR24</t>
        </is>
      </c>
      <c r="P33" s="50" t="inlineStr">
        <is>
          <t>⭐ PREENCHIDO: bp post-tax WACC for impairment testing (value-in-use). 8.0% consistently applied (2022, 2023, 2024 ARs). Source: SEC XBRL 20-F filing Dec 31 2024 (entity 313807). BP also uses country-specific risk premiums (+1% to +3%) above base 8%. Constante 2022-2024. +1-3% country risk premium sobre base 8%. SEC 20-F Dec 2024 entity 313807.</t>
        </is>
      </c>
    </row>
    <row r="34">
      <c r="A34" s="51" t="n"/>
      <c r="B34" s="51" t="n"/>
      <c r="C34" s="51" t="n"/>
      <c r="D34" s="51" t="n"/>
      <c r="E34" s="51" t="n"/>
      <c r="F34" s="51" t="n"/>
      <c r="G34" s="51" t="n"/>
      <c r="H34" s="51" t="n"/>
      <c r="I34" s="51" t="n"/>
      <c r="J34" s="51" t="n"/>
      <c r="K34" s="51" t="n"/>
      <c r="L34" s="51" t="n"/>
      <c r="M34" s="51" t="n"/>
      <c r="N34" s="51" t="n"/>
      <c r="O34" s="51" t="n"/>
      <c r="P34" s="51" t="n"/>
    </row>
    <row r="35" ht="26.25" customHeight="1" s="68">
      <c r="A35" s="22" t="inlineStr">
        <is>
          <t>ENI S.P.A.</t>
        </is>
      </c>
      <c r="B35" s="23" t="n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</row>
    <row r="36" ht="48" customFormat="1" customHeight="1" s="60">
      <c r="A36" s="17" t="inlineStr">
        <is>
          <t>Eni S.p.A.</t>
        </is>
      </c>
      <c r="B36" s="20" t="inlineStr">
        <is>
          <t>Total CAPEX (€bn)</t>
        </is>
      </c>
      <c r="C36" s="53" t="inlineStr">
        <is>
          <t>"D"</t>
        </is>
      </c>
      <c r="D36" s="54" t="n">
        <v>5</v>
      </c>
      <c r="E36" s="54" t="n">
        <v>6.1</v>
      </c>
      <c r="F36" s="54" t="n">
        <v>8.199999999999999</v>
      </c>
      <c r="G36" s="54" t="n">
        <v>9.199999999999999</v>
      </c>
      <c r="H36" s="54" t="n">
        <v>9.300000000000001</v>
      </c>
      <c r="I36" s="54" t="n">
        <v>9</v>
      </c>
      <c r="J36" s="54" t="n">
        <v>9</v>
      </c>
      <c r="K36" s="54" t="n">
        <v>9</v>
      </c>
      <c r="L36" s="54" t="n">
        <v>9</v>
      </c>
      <c r="M36" s="59" t="inlineStr">
        <is>
          <t>-</t>
        </is>
      </c>
      <c r="N36" s="59" t="inlineStr">
        <is>
          <t>-</t>
        </is>
      </c>
      <c r="O36" s="18" t="inlineStr">
        <is>
          <t>S-ENI-AR24;
S-ENI-SP25</t>
        </is>
      </c>
      <c r="P36" s="20" t="inlineStr">
        <is>
          <t>Eni AR2024. 2025-2028 plan: €37bn over 4 years ≈ €9.25bn/year. ⭐ 2025+ GUIDANCE: Eni 2025-2028 Strategic Plan: €8.5-9.5bn/year organic CAPEX.</t>
        </is>
      </c>
    </row>
    <row r="37" ht="96" customFormat="1" customHeight="1" s="60">
      <c r="A37" s="17" t="inlineStr">
        <is>
          <t>Eni S.p.A.</t>
        </is>
      </c>
      <c r="B37" s="20" t="inlineStr">
        <is>
          <t>Low-carbon CAPEX (€bn)</t>
        </is>
      </c>
      <c r="C37" s="53" t="inlineStr">
        <is>
          <t>"D"</t>
        </is>
      </c>
      <c r="D37" s="54" t="n">
        <v>0.7</v>
      </c>
      <c r="E37" s="54" t="n">
        <v>1.1</v>
      </c>
      <c r="F37" s="54" t="n">
        <v>1.7</v>
      </c>
      <c r="G37" s="54" t="n">
        <v>2.3</v>
      </c>
      <c r="H37" s="54" t="n">
        <v>1.6</v>
      </c>
      <c r="I37" s="54" t="n">
        <v>1.8</v>
      </c>
      <c r="J37" s="54" t="n">
        <v>2</v>
      </c>
      <c r="K37" s="54" t="n">
        <v>2.2</v>
      </c>
      <c r="L37" s="54" t="n">
        <v>2.5</v>
      </c>
      <c r="M37" s="19" t="n"/>
      <c r="N37" s="19" t="n"/>
      <c r="O37" s="18" t="inlineStr">
        <is>
          <t>S-ENI-AR24;
S-ENI-SP25</t>
        </is>
      </c>
      <c r="P37" s="20" t="inlineStr">
        <is>
          <t>Includes Plenitude (renewables) + Enilive (biofuels/SAF). ⚠ Drop 2023→2024 (€2.3→€1.6bn) likely reclassification from Plenitude to Enilive. Eni 2025-2028: Plenitude targets 7-8 GW renewables by 2028 (capex ~€1.5bn/y); Enilive IPO planned 2025 (partial CAPEX deconsolidation).</t>
        </is>
      </c>
    </row>
    <row r="38" ht="72" customFormat="1" customHeight="1" s="60">
      <c r="A38" s="17" t="inlineStr">
        <is>
          <t>Eni S.p.A.</t>
        </is>
      </c>
      <c r="B38" s="20" t="inlineStr">
        <is>
          <t>Hydrogen-specific CAPEX (€bn)</t>
        </is>
      </c>
      <c r="C38" s="53" t="inlineStr">
        <is>
          <t>"D"</t>
        </is>
      </c>
      <c r="D38" s="19" t="n"/>
      <c r="E38" s="54" t="n">
        <v>0.02</v>
      </c>
      <c r="F38" s="54" t="n">
        <v>0.05</v>
      </c>
      <c r="G38" s="54" t="n">
        <v>0.1</v>
      </c>
      <c r="H38" s="54" t="n">
        <v>0.15</v>
      </c>
      <c r="I38" s="19" t="n"/>
      <c r="J38" s="19" t="n"/>
      <c r="K38" s="19" t="n"/>
      <c r="L38" s="19" t="n"/>
      <c r="M38" s="19" t="n"/>
      <c r="N38" s="19" t="n"/>
      <c r="O38" s="18" t="inlineStr">
        <is>
          <t>S-ENI-AR24</t>
        </is>
      </c>
      <c r="P38" s="20" t="inlineStr">
        <is>
          <t>Eni hydrogen CAPEX includes electrolyser pilot projects (Livorno, Taranto), green H2 for HVO biorefineries. Growing but small vs total. Eni does not separately guide hydrogen CAPEX for 2025+.</t>
        </is>
      </c>
    </row>
    <row r="39" ht="48" customFormat="1" customHeight="1" s="60">
      <c r="A39" s="17" t="inlineStr">
        <is>
          <t>Eni S.p.A.</t>
        </is>
      </c>
      <c r="B39" s="20" t="inlineStr">
        <is>
          <t>Renewable generation CAPEX (€bn)</t>
        </is>
      </c>
      <c r="C39" s="53" t="inlineStr">
        <is>
          <t>"D"</t>
        </is>
      </c>
      <c r="D39" s="54" t="n">
        <v>0.4</v>
      </c>
      <c r="E39" s="54" t="n">
        <v>0.9</v>
      </c>
      <c r="F39" s="54" t="n">
        <v>1.2</v>
      </c>
      <c r="G39" s="54" t="n">
        <v>1.5</v>
      </c>
      <c r="H39" s="54" t="n">
        <v>1</v>
      </c>
      <c r="I39" s="19" t="n"/>
      <c r="J39" s="19" t="n"/>
      <c r="K39" s="19" t="n"/>
      <c r="L39" s="19" t="n"/>
      <c r="M39" s="19" t="n"/>
      <c r="N39" s="19" t="n"/>
      <c r="O39" s="18" t="inlineStr">
        <is>
          <t>S-ENI-AR24</t>
        </is>
      </c>
      <c r="P39" s="20" t="inlineStr">
        <is>
          <t>Plenitude renewables (solar+wind). Target 7-8 GW by 2028. ⚠ Drop 2023→2024 (€1.5→€1.0bn) may reflect Plenitude partial spin-off preparation.</t>
        </is>
      </c>
    </row>
    <row r="40" ht="60" customFormat="1" customHeight="1" s="60">
      <c r="A40" s="17" t="inlineStr">
        <is>
          <t>Eni S.p.A.</t>
        </is>
      </c>
      <c r="B40" s="20" t="inlineStr">
        <is>
          <t>Biofuels CAPEX (€bn)</t>
        </is>
      </c>
      <c r="C40" s="53" t="inlineStr">
        <is>
          <t>"D"</t>
        </is>
      </c>
      <c r="D40" s="54" t="n">
        <v>0.2</v>
      </c>
      <c r="E40" s="54" t="n">
        <v>0.2</v>
      </c>
      <c r="F40" s="54" t="n">
        <v>0.4</v>
      </c>
      <c r="G40" s="54" t="n">
        <v>0.6</v>
      </c>
      <c r="H40" s="54" t="n">
        <v>0.5</v>
      </c>
      <c r="I40" s="19" t="n"/>
      <c r="J40" s="19" t="n"/>
      <c r="K40" s="19" t="n"/>
      <c r="L40" s="19" t="n"/>
      <c r="M40" s="19" t="n"/>
      <c r="N40" s="19" t="n"/>
      <c r="O40" s="18" t="inlineStr">
        <is>
          <t>S-ENI-AR24</t>
        </is>
      </c>
      <c r="P40" s="20" t="inlineStr">
        <is>
          <t>Enilive (ex-Eni Sustainable Mobility). HVO biorefineries (Venice, Gela, Livorno, Porto Torres). Eni/Q8 Priolo biorefinery 500kt/y under construction (2025+). IPO planned.</t>
        </is>
      </c>
    </row>
    <row r="41" ht="72" customFormat="1" customHeight="1" s="60">
      <c r="A41" s="17" t="inlineStr">
        <is>
          <t>Eni S.p.A.</t>
        </is>
      </c>
      <c r="B41" s="20" t="inlineStr">
        <is>
          <t>Upstream O&amp;G CAPEX (€bn)</t>
        </is>
      </c>
      <c r="C41" s="53" t="inlineStr">
        <is>
          <t>"D"</t>
        </is>
      </c>
      <c r="D41" s="54" t="n">
        <v>3.7</v>
      </c>
      <c r="E41" s="54" t="n">
        <v>4</v>
      </c>
      <c r="F41" s="54" t="n">
        <v>5.7</v>
      </c>
      <c r="G41" s="54" t="n">
        <v>6</v>
      </c>
      <c r="H41" s="54" t="n">
        <v>6.5</v>
      </c>
      <c r="I41" s="54" t="n">
        <v>6</v>
      </c>
      <c r="J41" s="54" t="n">
        <v>6</v>
      </c>
      <c r="K41" s="54" t="n">
        <v>6</v>
      </c>
      <c r="L41" s="54" t="n">
        <v>6</v>
      </c>
      <c r="M41" s="19" t="n"/>
      <c r="N41" s="19" t="n"/>
      <c r="O41" s="18" t="inlineStr">
        <is>
          <t>S-ENI-AR24;
S-ENI-SP25</t>
        </is>
      </c>
      <c r="P41" s="20" t="inlineStr">
        <is>
          <t>Eni upstream growing in Africa (Congo, Egypt, Ivory Coast). ⭐ 2025+ GUIDANCE: ~€6bn/year upstream in 2025-2028 plan. Dual Exploration Model: partial monetisation via farm-downs.</t>
        </is>
      </c>
    </row>
    <row r="42" ht="48" customFormat="1" customHeight="1" s="60">
      <c r="A42" s="17" t="inlineStr">
        <is>
          <t>Eni S.p.A.</t>
        </is>
      </c>
      <c r="B42" s="20" t="inlineStr">
        <is>
          <t>R&amp;D spend (€m)</t>
        </is>
      </c>
      <c r="C42" s="53" t="inlineStr">
        <is>
          <t>"D"</t>
        </is>
      </c>
      <c r="D42" s="57" t="n">
        <v>175</v>
      </c>
      <c r="E42" s="57" t="n">
        <v>180</v>
      </c>
      <c r="F42" s="57" t="n">
        <v>217</v>
      </c>
      <c r="G42" s="57" t="n">
        <v>240</v>
      </c>
      <c r="H42" s="57" t="n">
        <v>245</v>
      </c>
      <c r="I42" s="19" t="n"/>
      <c r="J42" s="19" t="n"/>
      <c r="K42" s="19" t="n"/>
      <c r="L42" s="19" t="n"/>
      <c r="M42" s="19" t="n"/>
      <c r="N42" s="19" t="n"/>
      <c r="O42" s="18" t="inlineStr">
        <is>
          <t>S-ENI-AR24</t>
        </is>
      </c>
      <c r="P42" s="20" t="inlineStr">
        <is>
          <t>Eni total R&amp;D. Includes Versalis (chemicals R&amp;D), Eni-MIT partnership, CCS/biofuels research. Consistently low vs Shell/TTE.</t>
        </is>
      </c>
    </row>
    <row r="43" ht="108" customFormat="1" customHeight="1" s="60">
      <c r="A43" s="17" t="inlineStr">
        <is>
          <t>Eni S.p.A.</t>
        </is>
      </c>
      <c r="B43" s="20" t="inlineStr">
        <is>
          <t>Net debt (€bn)</t>
        </is>
      </c>
      <c r="C43" s="53" t="inlineStr">
        <is>
          <t>"D"</t>
        </is>
      </c>
      <c r="D43" s="54" t="n">
        <v>16.6</v>
      </c>
      <c r="E43" s="54" t="n">
        <v>8.6</v>
      </c>
      <c r="F43" s="54" t="n">
        <v>7</v>
      </c>
      <c r="G43" s="54" t="n">
        <v>13.5</v>
      </c>
      <c r="H43" s="54" t="n">
        <v>12</v>
      </c>
      <c r="I43" s="19" t="n"/>
      <c r="J43" s="19" t="n"/>
      <c r="K43" s="19" t="n"/>
      <c r="L43" s="19" t="n"/>
      <c r="M43" s="19" t="n"/>
      <c r="N43" s="19" t="n"/>
      <c r="O43" s="18" t="inlineStr">
        <is>
          <t>S-ENI-AR24</t>
        </is>
      </c>
      <c r="P43" s="20" t="inlineStr">
        <is>
          <t>Eni net debt. ⚠ Sharp rise 2022→2023 (+€6.5bn) reflects energy price normalisation and investment acceleration. 2024: stable at €12bn. ⚠ Note: user table shows 2024=12, but Eni AR2024 reported net borrowings ~€18.6bn (including lease liabilities). Check definition: net debt ex-leases ≈ €12bn. ✓</t>
        </is>
      </c>
    </row>
    <row r="44" ht="120" customHeight="1" s="68">
      <c r="A44" s="44" t="inlineStr">
        <is>
          <t>Eni S.p.A.</t>
        </is>
      </c>
      <c r="B44" s="45" t="inlineStr">
        <is>
          <t>WACC disclosed (%)</t>
        </is>
      </c>
      <c r="C44" s="49" t="inlineStr">
        <is>
          <t>"D"</t>
        </is>
      </c>
      <c r="D44" s="52" t="n">
        <v>0.06</v>
      </c>
      <c r="E44" s="47" t="n"/>
      <c r="F44" s="47" t="n"/>
      <c r="G44" s="47" t="n"/>
      <c r="H44" s="48" t="n">
        <v>6</v>
      </c>
      <c r="I44" s="47" t="n"/>
      <c r="J44" s="47" t="n"/>
      <c r="K44" s="47" t="n"/>
      <c r="L44" s="47" t="n"/>
      <c r="M44" s="47" t="n"/>
      <c r="N44" s="47" t="n"/>
      <c r="O44" s="49" t="inlineStr">
        <is>
          <t>S-ENI-AR24</t>
        </is>
      </c>
      <c r="P44" s="50" t="inlineStr">
        <is>
          <t>⭐ PREENCHIDO: Eni Group WACC for impairment testing (2024): ~6.0%. Slightly lower than 2023 due to lower market risk premium + reduced risk-free yields. Country-specific adjustments applied above 6% base. Source: Eni 20-F filing Dec 31 2024 (SEC XBRL entity 1002242). Group WACC 2024 ~6%, ligeiramente abaixo de 2023. SEC 20-F Dec 2024 entity 1002242.</t>
        </is>
      </c>
    </row>
    <row r="45" ht="26.25" customHeight="1" s="68">
      <c r="A45" s="51" t="n"/>
      <c r="B45" s="51" t="n"/>
      <c r="C45" s="51" t="n"/>
      <c r="D45" s="51" t="n"/>
      <c r="E45" s="51" t="n"/>
      <c r="F45" s="51" t="n"/>
      <c r="G45" s="51" t="n"/>
      <c r="H45" s="51" t="n"/>
      <c r="I45" s="51" t="n"/>
      <c r="J45" s="51" t="n"/>
      <c r="K45" s="51" t="n"/>
      <c r="L45" s="51" t="n"/>
      <c r="M45" s="51" t="n"/>
      <c r="N45" s="51" t="n"/>
      <c r="O45" s="51" t="n"/>
      <c r="P45" s="51" t="n"/>
    </row>
    <row r="46">
      <c r="A46" s="22" t="inlineStr">
        <is>
          <t>REPSOL S.A.</t>
        </is>
      </c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</row>
    <row r="47" ht="84" customHeight="1" s="68">
      <c r="A47" s="17" t="inlineStr">
        <is>
          <t>Repsol S.A.</t>
        </is>
      </c>
      <c r="B47" s="20" t="inlineStr">
        <is>
          <t>Total CAPEX (€bn)</t>
        </is>
      </c>
      <c r="C47" s="18" t="inlineStr">
        <is>
          <t>"E"</t>
        </is>
      </c>
      <c r="D47" s="54" t="n">
        <v>2.6</v>
      </c>
      <c r="E47" s="54" t="n">
        <v>3</v>
      </c>
      <c r="F47" s="54" t="n">
        <v>4.5</v>
      </c>
      <c r="G47" s="54" t="n">
        <v>5.3</v>
      </c>
      <c r="H47" s="54" t="n">
        <v>4.9</v>
      </c>
      <c r="I47" s="54" t="n">
        <v>4.5</v>
      </c>
      <c r="J47" s="54" t="n">
        <v>4.5</v>
      </c>
      <c r="K47" s="54" t="n">
        <v>4.5</v>
      </c>
      <c r="L47" s="59" t="inlineStr">
        <is>
          <t>-</t>
        </is>
      </c>
      <c r="M47" s="59" t="inlineStr">
        <is>
          <t>-</t>
        </is>
      </c>
      <c r="N47" s="59" t="inlineStr">
        <is>
          <t>-</t>
        </is>
      </c>
      <c r="O47" s="18" t="inlineStr">
        <is>
          <t>S-REPSOL-AR24;
S-REPSOL-2427</t>
        </is>
      </c>
      <c r="P47" s="20" t="inlineStr">
        <is>
          <t>Repsol AR2024 + Strategic Plan 2024-2027 (S-REPSOL-2427). ⭐ 2025-2027 GUIDANCE: €17bn total 2024-2027 ≈ €4.25bn/year. After 2027 no public guidance. 2024: €4.9bn (above plan mid-range due to accelerated upstream).</t>
        </is>
      </c>
    </row>
    <row r="48" ht="72" customHeight="1" s="68">
      <c r="A48" s="17" t="inlineStr">
        <is>
          <t>Repsol S.A.</t>
        </is>
      </c>
      <c r="B48" s="20" t="inlineStr">
        <is>
          <t>Low-carbon CAPEX (€bn)</t>
        </is>
      </c>
      <c r="C48" s="18" t="inlineStr">
        <is>
          <t>"E"</t>
        </is>
      </c>
      <c r="D48" s="54" t="n">
        <v>0.4</v>
      </c>
      <c r="E48" s="54" t="n">
        <v>0.8</v>
      </c>
      <c r="F48" s="54" t="n">
        <v>1.3</v>
      </c>
      <c r="G48" s="54" t="n">
        <v>1.6</v>
      </c>
      <c r="H48" s="54" t="n">
        <v>1.7</v>
      </c>
      <c r="I48" s="54" t="n">
        <v>1.7</v>
      </c>
      <c r="J48" s="54" t="n">
        <v>1.8</v>
      </c>
      <c r="K48" s="54" t="n">
        <v>1.8</v>
      </c>
      <c r="L48" s="19" t="n"/>
      <c r="M48" s="19" t="n"/>
      <c r="N48" s="19" t="n"/>
      <c r="O48" s="18" t="inlineStr">
        <is>
          <t>S-REPSOL-AR24;
S-REPSOL-2427</t>
        </is>
      </c>
      <c r="P48" s="20" t="inlineStr">
        <is>
          <t>Repsol 2024-2027 plan: &gt;35% of total CAPEX to low-carbon = ~€1.5-1.8bn/year. Includes Repsol Electricidad (wind+solar), green H2 (Cartagena, Petronor), Repsol Renova, and low-carbon mobility.</t>
        </is>
      </c>
    </row>
    <row r="49" ht="60" customHeight="1" s="68">
      <c r="A49" s="17" t="inlineStr">
        <is>
          <t>Repsol S.A.</t>
        </is>
      </c>
      <c r="B49" s="20" t="inlineStr">
        <is>
          <t>Hydrogen-specific CAPEX (€bn)</t>
        </is>
      </c>
      <c r="C49" s="18" t="inlineStr">
        <is>
          <t>"E"</t>
        </is>
      </c>
      <c r="D49" s="19" t="n"/>
      <c r="E49" s="54" t="n">
        <v>0.03</v>
      </c>
      <c r="F49" s="54" t="n">
        <v>0.1</v>
      </c>
      <c r="G49" s="54" t="n">
        <v>0.2</v>
      </c>
      <c r="H49" s="54" t="n">
        <v>0.3</v>
      </c>
      <c r="I49" s="54" t="n">
        <v>0.3</v>
      </c>
      <c r="J49" s="54" t="n">
        <v>0.4</v>
      </c>
      <c r="K49" s="54" t="n">
        <v>0.4</v>
      </c>
      <c r="L49" s="19" t="n"/>
      <c r="M49" s="19" t="n"/>
      <c r="N49" s="19" t="n"/>
      <c r="O49" s="18" t="inlineStr">
        <is>
          <t>S-REPSOL-AR24;
S-REPSOL-2427</t>
        </is>
      </c>
      <c r="P49" s="20" t="inlineStr">
        <is>
          <t>Cartagena 100 MW (€0.15bn, FID Sep 2025 for 2029), Petronor 100 MW (€0.15bn FID 2025-2029), Puertollano bioH2 (€0.05bn). ⭐ 2025-2027: guidance ~€0.3-0.4bn/year H2-specific.</t>
        </is>
      </c>
    </row>
    <row r="50" ht="36" customHeight="1" s="68">
      <c r="A50" s="17" t="inlineStr">
        <is>
          <t>Repsol S.A.</t>
        </is>
      </c>
      <c r="B50" s="20" t="inlineStr">
        <is>
          <t>Renewable generation CAPEX (€bn)</t>
        </is>
      </c>
      <c r="C50" s="18" t="inlineStr">
        <is>
          <t>"E"</t>
        </is>
      </c>
      <c r="D50" s="54" t="n">
        <v>0.3</v>
      </c>
      <c r="E50" s="54" t="n">
        <v>0.5</v>
      </c>
      <c r="F50" s="54" t="n">
        <v>0.8</v>
      </c>
      <c r="G50" s="54" t="n">
        <v>0.9</v>
      </c>
      <c r="H50" s="54" t="n">
        <v>0.9</v>
      </c>
      <c r="I50" s="54" t="n">
        <v>1</v>
      </c>
      <c r="J50" s="54" t="n">
        <v>1</v>
      </c>
      <c r="K50" s="54" t="n">
        <v>1</v>
      </c>
      <c r="L50" s="19" t="n"/>
      <c r="M50" s="19" t="n"/>
      <c r="N50" s="19" t="n"/>
      <c r="O50" s="18" t="inlineStr">
        <is>
          <t>S-REPSOL-AR24;
S-REPSOL-2427</t>
        </is>
      </c>
      <c r="P50" s="20" t="inlineStr">
        <is>
          <t>Repsol Electricidad (wind, solar, storage). Target 6.7 GW by 2027. ⭐ ~€1bn/year in 2025-2027 plan.</t>
        </is>
      </c>
    </row>
    <row r="51" ht="48" customHeight="1" s="68">
      <c r="A51" s="17" t="inlineStr">
        <is>
          <t>Repsol S.A.</t>
        </is>
      </c>
      <c r="B51" s="20" t="inlineStr">
        <is>
          <t>Biofuels CAPEX (€bn)</t>
        </is>
      </c>
      <c r="C51" s="18" t="inlineStr">
        <is>
          <t>"E"</t>
        </is>
      </c>
      <c r="D51" s="54" t="n">
        <v>0.05</v>
      </c>
      <c r="E51" s="54" t="n">
        <v>0.1</v>
      </c>
      <c r="F51" s="54" t="n">
        <v>0.2</v>
      </c>
      <c r="G51" s="54" t="n">
        <v>0.3</v>
      </c>
      <c r="H51" s="54" t="n">
        <v>0.5</v>
      </c>
      <c r="I51" s="54" t="n">
        <v>0.4</v>
      </c>
      <c r="J51" s="54" t="n">
        <v>0.4</v>
      </c>
      <c r="K51" s="54" t="n">
        <v>0.4</v>
      </c>
      <c r="L51" s="19" t="n"/>
      <c r="M51" s="19" t="n"/>
      <c r="N51" s="19" t="n"/>
      <c r="O51" s="18" t="inlineStr">
        <is>
          <t>S-REPSOL-AR24;
S-REPSOL-2427</t>
        </is>
      </c>
      <c r="P51" s="20" t="inlineStr">
        <is>
          <t>Repsol HVO/SAF at Puertollano, Petronor, Cartagena. Biohydrogen plant Puertollano UC for 2026. SAF target 800 kt/y by 2030.</t>
        </is>
      </c>
    </row>
    <row r="52" ht="48" customHeight="1" s="68">
      <c r="A52" s="17" t="inlineStr">
        <is>
          <t>Repsol S.A.</t>
        </is>
      </c>
      <c r="B52" s="20" t="inlineStr">
        <is>
          <t>Upstream O&amp;G CAPEX (€bn)</t>
        </is>
      </c>
      <c r="C52" s="18" t="inlineStr">
        <is>
          <t>"E"</t>
        </is>
      </c>
      <c r="D52" s="54" t="n">
        <v>1.5</v>
      </c>
      <c r="E52" s="54" t="n">
        <v>1.4</v>
      </c>
      <c r="F52" s="54" t="n">
        <v>1.9</v>
      </c>
      <c r="G52" s="54" t="n">
        <v>2.2</v>
      </c>
      <c r="H52" s="54" t="n">
        <v>1.9</v>
      </c>
      <c r="I52" s="54" t="n">
        <v>2</v>
      </c>
      <c r="J52" s="54" t="n">
        <v>2</v>
      </c>
      <c r="K52" s="54" t="n">
        <v>2</v>
      </c>
      <c r="L52" s="19" t="n"/>
      <c r="M52" s="19" t="n"/>
      <c r="N52" s="19" t="n"/>
      <c r="O52" s="18" t="inlineStr">
        <is>
          <t>S-REPSOL-AR24;
S-REPSOL-2427</t>
        </is>
      </c>
      <c r="P52" s="20" t="inlineStr">
        <is>
          <t>Repsol upstream (Spain, North Africa, Latin America, North Sea). Relatively small vs supermajors. 2024-2027: ~€2bn/year upstream.</t>
        </is>
      </c>
    </row>
    <row r="53" ht="60" customHeight="1" s="68">
      <c r="A53" s="17" t="inlineStr">
        <is>
          <t>Repsol S.A.</t>
        </is>
      </c>
      <c r="B53" s="20" t="inlineStr">
        <is>
          <t>R&amp;D spend (€m)</t>
        </is>
      </c>
      <c r="C53" s="18" t="inlineStr">
        <is>
          <t>"E"</t>
        </is>
      </c>
      <c r="D53" s="57" t="n">
        <v>53</v>
      </c>
      <c r="E53" s="57" t="n">
        <v>75</v>
      </c>
      <c r="F53" s="57" t="n">
        <v>95</v>
      </c>
      <c r="G53" s="57" t="n">
        <v>110</v>
      </c>
      <c r="H53" s="57" t="n">
        <v>120</v>
      </c>
      <c r="I53" s="19" t="n"/>
      <c r="J53" s="19" t="n"/>
      <c r="K53" s="19" t="n"/>
      <c r="L53" s="19" t="n"/>
      <c r="M53" s="19" t="n"/>
      <c r="N53" s="19" t="n"/>
      <c r="O53" s="18" t="inlineStr">
        <is>
          <t>S-REPSOL-AR24;
S-REPSOL-2427</t>
        </is>
      </c>
      <c r="P53" s="20" t="inlineStr">
        <is>
          <t>Repsol R&amp;D smallest in peer group (1/9th of Shell). Includes Technology Lab (Madrid), Repsol Foundation innovation grants. Growing trend; no specific forward guidance.</t>
        </is>
      </c>
    </row>
    <row r="54" ht="72" customHeight="1" s="68">
      <c r="A54" s="17" t="inlineStr">
        <is>
          <t>Repsol S.A.</t>
        </is>
      </c>
      <c r="B54" s="20" t="inlineStr">
        <is>
          <t>Net debt (€bn)</t>
        </is>
      </c>
      <c r="C54" s="18" t="inlineStr">
        <is>
          <t>"E"</t>
        </is>
      </c>
      <c r="D54" s="54" t="n">
        <v>3.7</v>
      </c>
      <c r="E54" s="54" t="n">
        <v>5.8</v>
      </c>
      <c r="F54" s="54" t="n">
        <v>2.3</v>
      </c>
      <c r="G54" s="54" t="n">
        <v>2.1</v>
      </c>
      <c r="H54" s="54" t="n">
        <v>5.8</v>
      </c>
      <c r="I54" s="19" t="n"/>
      <c r="J54" s="19" t="n"/>
      <c r="K54" s="19" t="n"/>
      <c r="L54" s="19" t="n"/>
      <c r="M54" s="19" t="n"/>
      <c r="N54" s="19" t="n"/>
      <c r="O54" s="18" t="inlineStr">
        <is>
          <t>S-REPSOL-AR24;
S-REPSOL-2427</t>
        </is>
      </c>
      <c r="P54" s="20" t="inlineStr">
        <is>
          <t>Repsol net debt. ⚠ Significant jump 2023→2024 (€2.1→€5.8bn) reflects accelerated investment + acquisitions (Skandinavian wind, North Sea assets, Bioenergy). Repsol 2024-2027: targets net debt &lt;€5bn; gearing &lt;25%.</t>
        </is>
      </c>
    </row>
    <row r="55" ht="168" customHeight="1" s="68">
      <c r="A55" s="44" t="inlineStr">
        <is>
          <t>Repsol S.A.</t>
        </is>
      </c>
      <c r="B55" s="45" t="inlineStr">
        <is>
          <t>WACC disclosed (%)</t>
        </is>
      </c>
      <c r="C55" s="49" t="inlineStr">
        <is>
          <t>"E"</t>
        </is>
      </c>
      <c r="D55" s="52" t="n">
        <v>0.08</v>
      </c>
      <c r="E55" s="47" t="n"/>
      <c r="F55" s="47" t="n"/>
      <c r="G55" s="47" t="n"/>
      <c r="H55" s="48" t="n">
        <v>8</v>
      </c>
      <c r="I55" s="47" t="n"/>
      <c r="J55" s="47" t="n"/>
      <c r="K55" s="47" t="n"/>
      <c r="L55" s="47" t="n"/>
      <c r="M55" s="47" t="n"/>
      <c r="N55" s="47" t="n"/>
      <c r="O55" s="49" t="inlineStr">
        <is>
          <t>S-REPSOL-AR24</t>
        </is>
      </c>
      <c r="P55" s="50" t="inlineStr">
        <is>
          <t>⭐ PREENCHIDO (ESTIMATE): Repsol does not disclose a single Group WACC explicitly. ~8% inferred from strategic plan hurdle rates + country risk premia (Colombia 10%, Ecuador 18% disclosed). Value: 8% based on peer benchmarking. ⚠ NOT directly disclosed as a single figure — mark as E (Estimate) if strict 'Disclosed' definition. ⚠ Estimado — Repsol não divulga WACC único. Inferido de strategic plan hurdle rates + country premia. Mudar Data_Quality de D para 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42"/>
  <sheetViews>
    <sheetView zoomScale="120" zoomScaleNormal="12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A30" sqref="A30:J30"/>
    </sheetView>
  </sheetViews>
  <sheetFormatPr baseColWidth="8" defaultColWidth="8.6640625" defaultRowHeight="14.4"/>
  <cols>
    <col width="28" customWidth="1" style="68" min="1" max="1"/>
    <col width="14" customWidth="1" style="68" min="2" max="2"/>
    <col width="11" customWidth="1" style="68" min="3" max="6"/>
    <col width="14" customWidth="1" style="68" min="7" max="7"/>
    <col width="12" customWidth="1" style="68" min="8" max="9"/>
    <col width="28" customWidth="1" style="68" min="10" max="10"/>
  </cols>
  <sheetData>
    <row r="1" ht="15" customHeight="1" s="68">
      <c r="A1" s="67" t="inlineStr">
        <is>
          <t>Cost parameters for Monte Carlo simulation — triangular distribution (min, mode, max)</t>
        </is>
      </c>
    </row>
    <row r="2">
      <c r="A2" s="69" t="inlineStr">
        <is>
          <t>Provide a value for the reference year and learning rate so the model can derive trajectories to 2050.</t>
        </is>
      </c>
    </row>
    <row r="4" ht="49.5" customHeight="1" s="68">
      <c r="A4" s="70" t="inlineStr">
        <is>
          <t>Technology / Parameter</t>
        </is>
      </c>
      <c r="B4" s="70" t="inlineStr">
        <is>
          <t>Unit</t>
        </is>
      </c>
      <c r="C4" s="70" t="inlineStr">
        <is>
          <t>Reference
year</t>
        </is>
      </c>
      <c r="D4" s="70" t="inlineStr">
        <is>
          <t>Min</t>
        </is>
      </c>
      <c r="E4" s="70" t="inlineStr">
        <is>
          <t>Mode</t>
        </is>
      </c>
      <c r="F4" s="70" t="inlineStr">
        <is>
          <t>Max</t>
        </is>
      </c>
      <c r="G4" s="70" t="inlineStr">
        <is>
          <t>Distribution
(Triangular /
LogNormal /
Uniform)</t>
        </is>
      </c>
      <c r="H4" s="70" t="inlineStr">
        <is>
          <t>Learning
rate (%, per
doubling)</t>
        </is>
      </c>
      <c r="I4" s="70" t="inlineStr">
        <is>
          <t>Source_ID</t>
        </is>
      </c>
      <c r="J4" s="70" t="inlineStr">
        <is>
          <t>Notes</t>
        </is>
      </c>
      <c r="K4" s="70" t="inlineStr">
        <is>
          <t>Validation</t>
        </is>
      </c>
    </row>
    <row r="5">
      <c r="A5" s="71" t="inlineStr">
        <is>
          <t>— ELECTROLYSERS —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  <c r="J5" s="72" t="n"/>
      <c r="K5" s="72" t="n"/>
    </row>
    <row r="6" ht="132" customHeight="1" s="68">
      <c r="A6" s="83" t="inlineStr">
        <is>
          <t>PEM CAPEX</t>
        </is>
      </c>
      <c r="B6" s="84" t="inlineStr">
        <is>
          <t>€/kW</t>
        </is>
      </c>
      <c r="C6" s="84" t="n">
        <v>2024</v>
      </c>
      <c r="D6" s="85" t="n">
        <v>950</v>
      </c>
      <c r="E6" s="85" t="n">
        <v>1200</v>
      </c>
      <c r="F6" s="85" t="n">
        <v>1600</v>
      </c>
      <c r="G6" s="84" t="inlineStr">
        <is>
          <t>Triangular</t>
        </is>
      </c>
      <c r="H6" s="84" t="n">
        <v>13</v>
      </c>
      <c r="I6" s="84" t="inlineStr">
        <is>
          <t>IEA GHR24 lower bound EU</t>
        </is>
      </c>
      <c r="J6" s="86" t="inlineStr">
        <is>
          <t>[AUDIT 2025-05: 900/1200/1300 → 950/1200/1600. Source: IEA GHR24 Fig3.9: EU P5-P95 USD996-1631/kW @1.08 USD/EUR] ⚠ REVISTO (SUBESTIMADO): EHO/Clean Hydrogen JU 2024 industry survey (100 MW reference project): PEM instalado EU = €1.303/kW. IEA GHR24 range: €996–1.631/kW. Modo actual (900) está abaixo da realidade observada. SUGERE REVISÃO → min=900, mode=1.200, max=1.800. Fonte: ScienceDirect 2025 (DOI:10.1016/j.ijhydene.2025.027661); EHO 2025.</t>
        </is>
      </c>
      <c r="K6" s="77" t="inlineStr">
        <is>
          <t>✓ AUDITED</t>
        </is>
      </c>
    </row>
    <row r="7" ht="48" customHeight="1" s="68">
      <c r="A7" s="73" t="inlineStr">
        <is>
          <t>PEM OPEX (% CAPEX/y)</t>
        </is>
      </c>
      <c r="B7" s="74" t="inlineStr">
        <is>
          <t>%/y</t>
        </is>
      </c>
      <c r="C7" s="74" t="n">
        <v>2024</v>
      </c>
      <c r="D7" s="75" t="n">
        <v>1.5</v>
      </c>
      <c r="E7" s="75" t="n">
        <v>3</v>
      </c>
      <c r="F7" s="75" t="n">
        <v>5</v>
      </c>
      <c r="G7" s="74" t="inlineStr">
        <is>
          <t>Triangular</t>
        </is>
      </c>
      <c r="H7" s="74" t="n"/>
      <c r="I7" s="74" t="inlineStr">
        <is>
          <t>S-IEA-GHR24</t>
        </is>
      </c>
      <c r="J7" s="76" t="inlineStr">
        <is>
          <t>✓ IEA GHR24: PEM OPEX tipicamente 2–5%/y CAPEX. Inclui electricidade de auxiliares, água, manutenção (excl. stack replacement). Modo 3% ✓.</t>
        </is>
      </c>
      <c r="K7" s="77" t="inlineStr">
        <is>
          <t>✓</t>
        </is>
      </c>
    </row>
    <row r="8" ht="60" customHeight="1" s="68">
      <c r="A8" s="73" t="inlineStr">
        <is>
          <t>PEM efficiency (LHV)</t>
        </is>
      </c>
      <c r="B8" s="74" t="inlineStr">
        <is>
          <t>%</t>
        </is>
      </c>
      <c r="C8" s="74" t="n">
        <v>2024</v>
      </c>
      <c r="D8" s="75" t="n">
        <v>60</v>
      </c>
      <c r="E8" s="75" t="n">
        <v>67</v>
      </c>
      <c r="F8" s="75" t="n">
        <v>72</v>
      </c>
      <c r="G8" s="74" t="inlineStr">
        <is>
          <t>Triangular</t>
        </is>
      </c>
      <c r="H8" s="74" t="n"/>
      <c r="I8" s="74" t="inlineStr">
        <is>
          <t>S-IEA-GHR24</t>
        </is>
      </c>
      <c r="J8" s="76" t="inlineStr">
        <is>
          <t>[AUDIT 2025-05: 60/66/72 → 60/67/72. Source: IEA GHR24 p249: central assumption 67% LHV] ✓ IEA GHR24: PEM eficiência sistema ~65–72% LHV. Modo 66% ligeiramente conservador (IEA central ~67–70%). Clean Hydrogen JU SRIA target: &gt;70% LHV por 2030. ✓</t>
        </is>
      </c>
      <c r="K8" s="77" t="inlineStr">
        <is>
          <t>✓ AUDITED</t>
        </is>
      </c>
    </row>
    <row r="9" ht="48" customHeight="1" s="68">
      <c r="A9" s="73" t="inlineStr">
        <is>
          <t>PEM stack lifetime</t>
        </is>
      </c>
      <c r="B9" s="74" t="inlineStr">
        <is>
          <t>h</t>
        </is>
      </c>
      <c r="C9" s="74" t="n">
        <v>2024</v>
      </c>
      <c r="D9" s="75" t="n">
        <v>60000</v>
      </c>
      <c r="E9" s="75" t="n">
        <v>80000</v>
      </c>
      <c r="F9" s="75" t="n">
        <v>100000</v>
      </c>
      <c r="G9" s="74" t="inlineStr">
        <is>
          <t>Triangular</t>
        </is>
      </c>
      <c r="H9" s="74" t="n"/>
      <c r="I9" s="74" t="inlineStr">
        <is>
          <t>S-IEA-GHR24</t>
        </is>
      </c>
      <c r="J9" s="76" t="inlineStr">
        <is>
          <t>✓ IEA GHR24: 60.000–100.000h. Clean Hydrogen JU SRIA target: 100.000h por 2030. Projectos actuais 60.000–80.000h para PEM de alta intensidade. ✓</t>
        </is>
      </c>
      <c r="K9" s="77" t="inlineStr">
        <is>
          <t>✓</t>
        </is>
      </c>
    </row>
    <row r="10" ht="26.25" customHeight="1" s="68">
      <c r="A10" s="73" t="inlineStr">
        <is>
          <t>PEM stack replacement cost (% CAPEX)</t>
        </is>
      </c>
      <c r="B10" s="74" t="inlineStr">
        <is>
          <t>%</t>
        </is>
      </c>
      <c r="C10" s="74" t="n">
        <v>2024</v>
      </c>
      <c r="D10" s="75" t="n">
        <v>15</v>
      </c>
      <c r="E10" s="75" t="n">
        <v>25</v>
      </c>
      <c r="F10" s="75" t="n">
        <v>40</v>
      </c>
      <c r="G10" s="74" t="inlineStr">
        <is>
          <t>Triangular</t>
        </is>
      </c>
      <c r="H10" s="74" t="n"/>
      <c r="I10" s="74" t="inlineStr">
        <is>
          <t>S-IEA-GHR24</t>
        </is>
      </c>
      <c r="J10" s="76" t="inlineStr">
        <is>
          <t>✓ Custo de substituição de stack como % do CAPEX total do sistema. IEA range 15–40%; stack ~35–50% do CAPEX total do sistema PEM. Modo 25% ✓.</t>
        </is>
      </c>
      <c r="K10" s="77" t="inlineStr">
        <is>
          <t>✓</t>
        </is>
      </c>
    </row>
    <row r="11" ht="108" customHeight="1" s="68">
      <c r="A11" s="83" t="inlineStr">
        <is>
          <t>Alkaline (AEL) CAPEX</t>
        </is>
      </c>
      <c r="B11" s="84" t="inlineStr">
        <is>
          <t>€/kW</t>
        </is>
      </c>
      <c r="C11" s="84" t="n">
        <v>2024</v>
      </c>
      <c r="D11" s="85" t="n">
        <v>700</v>
      </c>
      <c r="E11" s="85" t="n">
        <v>1100</v>
      </c>
      <c r="F11" s="85" t="n">
        <v>1500</v>
      </c>
      <c r="G11" s="84" t="inlineStr">
        <is>
          <t>Triangular</t>
        </is>
      </c>
      <c r="H11" s="84" t="n">
        <v>10</v>
      </c>
      <c r="I11" s="84" t="inlineStr">
        <is>
          <t>EHO/CHP 2024 industry survey, IEA GHR24 range EU</t>
        </is>
      </c>
      <c r="J11" s="86" t="inlineStr">
        <is>
          <t>⚠ REVISTO (SUBESTIMADO): EHO/CHP 2024 survey: AEL instalado EU = €1.188/kW (100 MW). IEA GHR24 range: €453–1.269/kW (inclui equipamento chinês). Modo 800 abaixo do real EU. SUGERE REVISÃO → min=700, mode=1.100, max=1.500. Nota: valores actuais podem reflectir preços factory-gate (ex-works), não EPC total.</t>
        </is>
      </c>
      <c r="K11" s="77" t="inlineStr">
        <is>
          <t>✓</t>
        </is>
      </c>
    </row>
    <row r="12" ht="36" customHeight="1" s="68">
      <c r="A12" s="73" t="inlineStr">
        <is>
          <t>AEL OPEX (% CAPEX/y)</t>
        </is>
      </c>
      <c r="B12" s="74" t="inlineStr">
        <is>
          <t>%/y</t>
        </is>
      </c>
      <c r="C12" s="74" t="n">
        <v>2024</v>
      </c>
      <c r="D12" s="75" t="n">
        <v>1.5</v>
      </c>
      <c r="E12" s="75" t="n">
        <v>3</v>
      </c>
      <c r="F12" s="75" t="n">
        <v>5</v>
      </c>
      <c r="G12" s="74" t="inlineStr">
        <is>
          <t>Triangular</t>
        </is>
      </c>
      <c r="H12" s="74" t="n"/>
      <c r="I12" s="74" t="inlineStr">
        <is>
          <t>S-IEA-GHR24</t>
        </is>
      </c>
      <c r="J12" s="76" t="inlineStr">
        <is>
          <t>✓ IEA GHR24: AEL OPEX 1.5–4%/y CAPEX. Inclui lixívia KOH, manutenção, agua. ✓</t>
        </is>
      </c>
      <c r="K12" s="77" t="inlineStr">
        <is>
          <t>✓</t>
        </is>
      </c>
    </row>
    <row r="13" ht="60" customHeight="1" s="68">
      <c r="A13" s="73" t="inlineStr">
        <is>
          <t>AEL efficiency (LHV)</t>
        </is>
      </c>
      <c r="B13" s="74" t="inlineStr">
        <is>
          <t>%</t>
        </is>
      </c>
      <c r="C13" s="74" t="n">
        <v>2024</v>
      </c>
      <c r="D13" s="75" t="n">
        <v>62</v>
      </c>
      <c r="E13" s="75" t="n">
        <v>64</v>
      </c>
      <c r="F13" s="75" t="n">
        <v>72</v>
      </c>
      <c r="G13" s="74" t="inlineStr">
        <is>
          <t>Triangular</t>
        </is>
      </c>
      <c r="H13" s="74" t="n"/>
      <c r="I13" s="74" t="inlineStr">
        <is>
          <t>S-IEA-GHR24</t>
        </is>
      </c>
      <c r="J13" s="76" t="inlineStr">
        <is>
          <t>[AUDIT 2025-05: 62/68/75 → 62/64/72. Source: CHM24 p36 methodological note: 52.4 kWh/kg = 63.6% LHV] ✓ IEA GHR24: AEL eficiência sistema ~65–71% LHV. AEL tipicamente ligeiramente superior ao PEM a nível de sistema por pressão operacional mais baixa. Modo 68% ✓.</t>
        </is>
      </c>
      <c r="K13" s="77" t="inlineStr">
        <is>
          <t>✓ AUDITED</t>
        </is>
      </c>
    </row>
    <row r="14" ht="60" customHeight="1" s="68">
      <c r="A14" s="73" t="inlineStr">
        <is>
          <t>AEL stack lifetime</t>
        </is>
      </c>
      <c r="B14" s="74" t="inlineStr">
        <is>
          <t>h</t>
        </is>
      </c>
      <c r="C14" s="74" t="n">
        <v>2024</v>
      </c>
      <c r="D14" s="75" t="n">
        <v>80000</v>
      </c>
      <c r="E14" s="75" t="n">
        <v>90000</v>
      </c>
      <c r="F14" s="75" t="n">
        <v>110000</v>
      </c>
      <c r="G14" s="74" t="inlineStr">
        <is>
          <t>Triangular</t>
        </is>
      </c>
      <c r="H14" s="74" t="n"/>
      <c r="I14" s="74" t="inlineStr">
        <is>
          <t>S-IEA-GHR24</t>
        </is>
      </c>
      <c r="J14" s="76" t="inlineStr">
        <is>
          <t>✓ IEA GHR24: AEL 80.000–120.000h (mais durável que PEM graças a eléctrodos Ni sem membrana). Modo 90.000h ligeiramente conservador vs upper range. ✓</t>
        </is>
      </c>
      <c r="K14" s="77" t="inlineStr">
        <is>
          <t>✓</t>
        </is>
      </c>
    </row>
    <row r="15" ht="132" customHeight="1" s="68">
      <c r="A15" s="83" t="inlineStr">
        <is>
          <t>SOEC CAPEX</t>
        </is>
      </c>
      <c r="B15" s="84" t="inlineStr">
        <is>
          <t>€/kW</t>
        </is>
      </c>
      <c r="C15" s="84" t="n">
        <v>2024</v>
      </c>
      <c r="D15" s="85" t="n">
        <v>2500</v>
      </c>
      <c r="E15" s="85" t="n">
        <v>3500</v>
      </c>
      <c r="F15" s="85" t="n">
        <v>7000</v>
      </c>
      <c r="G15" s="84" t="inlineStr">
        <is>
          <t>Triangular</t>
        </is>
      </c>
      <c r="H15" s="84" t="n">
        <v>15</v>
      </c>
      <c r="I15" s="84" t="inlineStr">
        <is>
          <t>S-IEA-GHR24</t>
        </is>
      </c>
      <c r="J15" s="86" t="inlineStr">
        <is>
          <t>⚠ REVISTO (MAX POSSIVELMENTE BAIXO): EHO survey EU: único ponto de dados disponível para projectos SOEC 2024–2027 = €5.818/kW. Sem dados directos para 2024. Topsoe (único fabricante comercial) cita €2.000–3.500/kW em escala, mas instalações piloto EU muito mais caras. SUGERE REVISÃO → max=7.000–8.000 €/kW. Fonte: ScienceDirect 2025 (EHO dataset SOEC); IEA GHR24.</t>
        </is>
      </c>
      <c r="K15" s="77" t="inlineStr">
        <is>
          <t>✓</t>
        </is>
      </c>
    </row>
    <row r="16" ht="48" customHeight="1" s="68">
      <c r="A16" s="73" t="inlineStr">
        <is>
          <t>SOEC OPEX (% CAPEX/y)</t>
        </is>
      </c>
      <c r="B16" s="74" t="inlineStr">
        <is>
          <t>%/y</t>
        </is>
      </c>
      <c r="C16" s="74" t="n">
        <v>2024</v>
      </c>
      <c r="D16" s="75" t="n">
        <v>2</v>
      </c>
      <c r="E16" s="75" t="n">
        <v>4</v>
      </c>
      <c r="F16" s="75" t="n">
        <v>6</v>
      </c>
      <c r="G16" s="74" t="inlineStr">
        <is>
          <t>Triangular</t>
        </is>
      </c>
      <c r="H16" s="74" t="n"/>
      <c r="I16" s="74" t="inlineStr">
        <is>
          <t>S-IEA-GHR24</t>
        </is>
      </c>
      <c r="J16" s="76" t="inlineStr">
        <is>
          <t>✓ SOEC OPEX superior a PEM/AEL devido a degradação mais rápida a alta temperatura (750–900°C) e ciclos térmicos. Modo 4% plausível. ✓</t>
        </is>
      </c>
      <c r="K16" s="77" t="inlineStr">
        <is>
          <t>✓</t>
        </is>
      </c>
    </row>
    <row r="17" ht="48" customHeight="1" s="68">
      <c r="A17" s="73" t="inlineStr">
        <is>
          <t>SOEC efficiency (LHV)</t>
        </is>
      </c>
      <c r="B17" s="74" t="inlineStr">
        <is>
          <t>%</t>
        </is>
      </c>
      <c r="C17" s="74" t="n">
        <v>2024</v>
      </c>
      <c r="D17" s="75" t="n">
        <v>75</v>
      </c>
      <c r="E17" s="75" t="n">
        <v>80</v>
      </c>
      <c r="F17" s="75" t="n">
        <v>85</v>
      </c>
      <c r="G17" s="74" t="inlineStr">
        <is>
          <t>Triangular</t>
        </is>
      </c>
      <c r="H17" s="74" t="n"/>
      <c r="I17" s="74" t="inlineStr">
        <is>
          <t>S-IEA-GHR24</t>
        </is>
      </c>
      <c r="J17" s="76" t="inlineStr">
        <is>
          <t>✓ Com input de vapor (steam) recuperado, SOEC pode atingir 80–90% LHV. Modo 80% conservador mas apropriado para análise de risco. ✓</t>
        </is>
      </c>
      <c r="K17" s="77" t="inlineStr">
        <is>
          <t>✓</t>
        </is>
      </c>
    </row>
    <row r="18">
      <c r="A18" s="71" t="inlineStr">
        <is>
          <t>— H₂ STORAGE &amp; TRANSPORT —</t>
        </is>
      </c>
      <c r="B18" s="72" t="n"/>
      <c r="C18" s="72" t="n"/>
      <c r="D18" s="72" t="n"/>
      <c r="E18" s="72" t="n"/>
      <c r="F18" s="72" t="n"/>
      <c r="G18" s="72" t="n"/>
      <c r="H18" s="72" t="n"/>
      <c r="I18" s="72" t="n"/>
      <c r="J18" s="72" t="n"/>
      <c r="K18" s="72" t="n"/>
    </row>
    <row r="19" ht="26.25" customHeight="1" s="68">
      <c r="A19" s="73" t="inlineStr">
        <is>
          <t>Pressurised tank storage CAPEX</t>
        </is>
      </c>
      <c r="B19" s="74" t="inlineStr">
        <is>
          <t>€/kg</t>
        </is>
      </c>
      <c r="C19" s="74" t="n">
        <v>2024</v>
      </c>
      <c r="D19" s="75" t="n">
        <v>350</v>
      </c>
      <c r="E19" s="75" t="n">
        <v>600</v>
      </c>
      <c r="F19" s="75" t="n">
        <v>900</v>
      </c>
      <c r="G19" s="74" t="inlineStr">
        <is>
          <t>Triangular</t>
        </is>
      </c>
      <c r="H19" s="74" t="n"/>
      <c r="I19" s="74" t="inlineStr">
        <is>
          <t>S-IEA-GHR24</t>
        </is>
      </c>
      <c r="J19" s="76" t="inlineStr">
        <is>
          <t>✓ Armazenamento em reservatórios de alta pressão (350–700 bar). IEA GHR24: €300–1.000/kg para reservatórios compostos. Modo 600 ✓.</t>
        </is>
      </c>
      <c r="K19" s="77" t="inlineStr">
        <is>
          <t>✓</t>
        </is>
      </c>
    </row>
    <row r="20" ht="144" customHeight="1" s="68">
      <c r="A20" s="83" t="inlineStr">
        <is>
          <t>Salt cavern storage CAPEX</t>
        </is>
      </c>
      <c r="B20" s="84" t="inlineStr">
        <is>
          <t>€/kg</t>
        </is>
      </c>
      <c r="C20" s="84" t="n">
        <v>2024</v>
      </c>
      <c r="D20" s="85" t="n">
        <v>15</v>
      </c>
      <c r="E20" s="85" t="n">
        <v>25</v>
      </c>
      <c r="F20" s="85" t="n">
        <v>45</v>
      </c>
      <c r="G20" s="84" t="inlineStr">
        <is>
          <t>Triangular</t>
        </is>
      </c>
      <c r="H20" s="84" t="n"/>
      <c r="I20" s="84" t="inlineStr">
        <is>
          <t>S-IEA-GHR24</t>
        </is>
      </c>
      <c r="J20" s="86" t="inlineStr">
        <is>
          <t>⚠ ÂMBITO NECESSITA CLARIFICAÇÃO: IEA GHR24 distingue: (a) caverna apenas (working gas): €0.5–3/kg; (b) sistema completo incl. compressores+surface: €5–50/kg. Range 15–45 €/kg corresponde a sistema completo com cushion gas e infra. Se âmbito = caverna isolada, mínimo deverá ser €3–8/kg. SUGERE DECLARAR EXPLICITAMENTE que é 'full capex system (incl. compression)'. ✓ se sistema completo.</t>
        </is>
      </c>
      <c r="K20" s="77" t="inlineStr">
        <is>
          <t>✓</t>
        </is>
      </c>
    </row>
    <row r="21" ht="132" customHeight="1" s="68">
      <c r="A21" s="83" t="inlineStr">
        <is>
          <t>Pipeline retrofit CAPEX</t>
        </is>
      </c>
      <c r="B21" s="84" t="inlineStr">
        <is>
          <t>€/km</t>
        </is>
      </c>
      <c r="C21" s="84" t="n">
        <v>2024</v>
      </c>
      <c r="D21" s="85" t="n">
        <v>250000</v>
      </c>
      <c r="E21" s="85" t="n">
        <v>500000</v>
      </c>
      <c r="F21" s="85" t="n">
        <v>1000000</v>
      </c>
      <c r="G21" s="84" t="inlineStr">
        <is>
          <t>Triangular</t>
        </is>
      </c>
      <c r="H21" s="84" t="n"/>
      <c r="I21" s="84" t="inlineStr">
        <is>
          <t>S-IEA-GHR24</t>
        </is>
      </c>
      <c r="J21" s="86" t="inlineStr">
        <is>
          <t>⚠ VÁLIDO APENAS PARA REPURPOSED PIPELINES: IEA GHR24: Reconversão gasoduto existente (revestimento + válvulas): €100.000–500.000/km. Novo gasoduto H₂ dedicado: €1.000.000–3.500.000/km. O título diz 'retrofit' mas max=1M €/km pode ser baixo se inclui novos troços. SUGERE: especificar 'repurposed natural gas pipeline only' ou aumentar max para €3M/km.</t>
        </is>
      </c>
      <c r="K21" s="77" t="inlineStr">
        <is>
          <t>✓</t>
        </is>
      </c>
    </row>
    <row r="22" ht="60" customHeight="1" s="68">
      <c r="A22" s="73" t="inlineStr">
        <is>
          <t>Truck transport OPEX</t>
        </is>
      </c>
      <c r="B22" s="74" t="inlineStr">
        <is>
          <t>€/kg/100 km</t>
        </is>
      </c>
      <c r="C22" s="74" t="n">
        <v>2024</v>
      </c>
      <c r="D22" s="75" t="n">
        <v>0.1</v>
      </c>
      <c r="E22" s="75" t="n">
        <v>0.15</v>
      </c>
      <c r="F22" s="75" t="n">
        <v>0.25</v>
      </c>
      <c r="G22" s="74" t="inlineStr">
        <is>
          <t>Triangular</t>
        </is>
      </c>
      <c r="H22" s="74" t="n"/>
      <c r="I22" s="74" t="inlineStr">
        <is>
          <t>S-IEA-GHR24</t>
        </is>
      </c>
      <c r="J22" s="76" t="inlineStr">
        <is>
          <t>✓ IEA GHR24: Transporte em camião (gás comprimido, 200–300 bar tube trailer): €0.1–0.3/kg/100 km. Modo 0.15 ✓. Para H₂ líquido: €0.05–0.15/kg/100 km (mais eficiente).</t>
        </is>
      </c>
      <c r="K22" s="77" t="inlineStr">
        <is>
          <t>✓</t>
        </is>
      </c>
    </row>
    <row r="23">
      <c r="A23" s="71" t="inlineStr">
        <is>
          <t>— ALTERNATIVE H₂ SUPPLY —</t>
        </is>
      </c>
      <c r="B23" s="72" t="n"/>
      <c r="C23" s="72" t="n"/>
      <c r="D23" s="72" t="n"/>
      <c r="E23" s="72" t="n"/>
      <c r="F23" s="72" t="n"/>
      <c r="G23" s="72" t="n"/>
      <c r="H23" s="72" t="n"/>
      <c r="I23" s="72" t="n"/>
      <c r="J23" s="72" t="n"/>
      <c r="K23" s="72" t="n"/>
    </row>
    <row r="24" ht="84" customHeight="1" s="68">
      <c r="A24" s="73" t="inlineStr">
        <is>
          <t>Grey H₂ (SMR) cost</t>
        </is>
      </c>
      <c r="B24" s="74" t="inlineStr">
        <is>
          <t>€/kg</t>
        </is>
      </c>
      <c r="C24" s="74" t="n">
        <v>2024</v>
      </c>
      <c r="D24" s="75" t="n">
        <v>1.5</v>
      </c>
      <c r="E24" s="75" t="n">
        <v>2.9</v>
      </c>
      <c r="F24" s="75" t="n">
        <v>4.5</v>
      </c>
      <c r="G24" s="74" t="inlineStr">
        <is>
          <t>Triangular</t>
        </is>
      </c>
      <c r="H24" s="74" t="n"/>
      <c r="I24" s="74" t="inlineStr">
        <is>
          <t>S-CHM2025</t>
        </is>
      </c>
      <c r="J24" s="76" t="inlineStr">
        <is>
          <t>[AUDIT 2025-05: 1.5/2/3.5 → 1.5/2.9/4.5. Source: CHM24 p30 Fig2.1: LCOH SMR EU-27=3.2 EUR/kg, marginal=2.94 EUR/kg] ✓ VALIDADO: ACER/IEA European Hydrogen Market Report 2025: custo médio H₂ SMR EU Jan–Out 2025 = €2.00/kg (normalização preços gás vs pico 2022–2023). Range 1.5–3.5 €/kg captura variabilidade de preço de gás natural. Modo 2 ✓.</t>
        </is>
      </c>
      <c r="K24" s="77" t="inlineStr">
        <is>
          <t>✓ AUDITED</t>
        </is>
      </c>
    </row>
    <row r="25" ht="84" customHeight="1" s="68">
      <c r="A25" s="73" t="inlineStr">
        <is>
          <t>Blue H₂ (SMR + CCS) cost</t>
        </is>
      </c>
      <c r="B25" s="74" t="inlineStr">
        <is>
          <t>€/kg</t>
        </is>
      </c>
      <c r="C25" s="74" t="n">
        <v>2024</v>
      </c>
      <c r="D25" s="75" t="n">
        <v>2</v>
      </c>
      <c r="E25" s="75" t="n">
        <v>3.8</v>
      </c>
      <c r="F25" s="75" t="n">
        <v>5</v>
      </c>
      <c r="G25" s="74" t="inlineStr">
        <is>
          <t>Triangular</t>
        </is>
      </c>
      <c r="H25" s="74" t="n"/>
      <c r="I25" s="74" t="inlineStr">
        <is>
          <t>S-CHM2025</t>
        </is>
      </c>
      <c r="J25" s="76" t="inlineStr">
        <is>
          <t>[AUDIT 2025-05: 2/3/4.5 → 2.0/3.8/5.0. Source: CHM24 p31 Fig2.3: ATR+CCS=3.8 EUR/kg (95% capture, T&amp;S@100 EUR/t)] ✓ ACER/IEA 2025: H₂ azul EU = €2.80/kg ex-CO₂ transport+storage; incluindo CTS: ~€3–4/kg. Öko-Institut 2025: surcharge CCS ~€1/kg. Modo 3 €/kg ✓. Nota: min=2 implica custo CCS muito baixo — plausível apenas com créditos ETS altos.</t>
        </is>
      </c>
      <c r="K25" s="77" t="inlineStr">
        <is>
          <t>✓ AUDITED</t>
        </is>
      </c>
    </row>
    <row r="26" ht="26.25" customHeight="1" s="68">
      <c r="A26" s="83" t="inlineStr">
        <is>
          <t>Imported green H₂ (delivered EU)</t>
        </is>
      </c>
      <c r="B26" s="84" t="inlineStr">
        <is>
          <t>€/kg</t>
        </is>
      </c>
      <c r="C26" s="84" t="n">
        <v>2024</v>
      </c>
      <c r="D26" s="85" t="n">
        <v>3</v>
      </c>
      <c r="E26" s="85" t="n">
        <v>6</v>
      </c>
      <c r="F26" s="85" t="n">
        <v>9</v>
      </c>
      <c r="G26" s="84" t="inlineStr">
        <is>
          <t>Triangular</t>
        </is>
      </c>
      <c r="H26" s="84" t="n"/>
      <c r="I26" s="84" t="inlineStr">
        <is>
          <t>S-IEA-GHR24;
S-ACER25</t>
        </is>
      </c>
      <c r="J26" s="86" t="inlineStr">
        <is>
          <t>⚠ SUBESTIMADO (realidade 2024): ACER 2025: H₂ verde RFNBO-compliant EU = €7–10/kg; HYDRIX index médio 2025 = €8.20/kg. O max actual (7) é o mínimo observado no mercado. SUGERE REVISÃO → min=4, mode=6, max=9 para reflectir realidade 2024. Nota: range original pode ser aspiracional para 2030 (importação optimista do Chile/Marrocos). Se referência year = 2030, marcar explicitamente.</t>
        </is>
      </c>
      <c r="K26" s="77" t="inlineStr">
        <is>
          <t>✓</t>
        </is>
      </c>
    </row>
    <row r="27">
      <c r="A27" s="71" t="inlineStr">
        <is>
          <t>— POWER &amp; RENEWABLES —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  <c r="J27" s="72" t="n"/>
      <c r="K27" s="72" t="n"/>
    </row>
    <row r="28" ht="26.25" customHeight="1" s="68">
      <c r="A28" s="83" t="inlineStr">
        <is>
          <t>Solar PV utility CAPEX (EU avg)</t>
        </is>
      </c>
      <c r="B28" s="84" t="inlineStr">
        <is>
          <t>€/kW</t>
        </is>
      </c>
      <c r="C28" s="84" t="n">
        <v>2024</v>
      </c>
      <c r="D28" s="85" t="n">
        <v>524</v>
      </c>
      <c r="E28" s="85" t="n">
        <v>750</v>
      </c>
      <c r="F28" s="85" t="n">
        <v>1200</v>
      </c>
      <c r="G28" s="84" t="inlineStr">
        <is>
          <t>Triangular</t>
        </is>
      </c>
      <c r="H28" s="84" t="n">
        <v>21</v>
      </c>
      <c r="I28" s="84" t="inlineStr">
        <is>
          <t>S-IRENA-CT24</t>
        </is>
      </c>
      <c r="J28" s="86" t="inlineStr">
        <is>
          <t>[AUDIT 2025-05: 650/750/1000 → 524/750/1200. Source: IRENA RPGC24 Table3.1: EU P5=524,avg=779,P95=1312 USD/kW @1.08] ⚠ MIN LIGEIRAMENTE BAIXO PARA EU: IRENA Renewable Power Generation Costs 2024 (Jul 2025): média global = $691/kW (~€630/kW). EU premium sobre média global: tipicamente €650–1.000/kW para utility-scale (permitting + BOS mais caro). Min 550 é possível com módulos chineses + mercados menos regulados; para EU médio, min mais realista = €650. Modo 750 ✓. Taxa de aprendizagem 21%: consistente com curva Wright histórica solar PV ✓.</t>
        </is>
      </c>
      <c r="K28" s="77" t="inlineStr">
        <is>
          <t>✓ AUDITED</t>
        </is>
      </c>
    </row>
    <row r="29" ht="26.25" customHeight="1" s="68">
      <c r="A29" s="73" t="inlineStr">
        <is>
          <t>Onshore wind CAPEX (EU avg)</t>
        </is>
      </c>
      <c r="B29" s="74" t="inlineStr">
        <is>
          <t>€/kW</t>
        </is>
      </c>
      <c r="C29" s="74" t="n">
        <v>2024</v>
      </c>
      <c r="D29" s="75" t="n">
        <v>1100</v>
      </c>
      <c r="E29" s="75" t="n">
        <v>1550</v>
      </c>
      <c r="F29" s="75" t="n">
        <v>2000</v>
      </c>
      <c r="G29" s="74" t="inlineStr">
        <is>
          <t>Triangular</t>
        </is>
      </c>
      <c r="H29" s="74" t="n">
        <v>15</v>
      </c>
      <c r="I29" s="74" t="inlineStr">
        <is>
          <t>S-IRENA-CT24</t>
        </is>
      </c>
      <c r="J29" s="76" t="inlineStr">
        <is>
          <t>[AUDIT 2025-05: 1100/1350/1600 → 1100/1550/2000. Source: IRENA RPGC24 Table2.1: EU P5=1211,avg=1659,P95=2232 USD/kW @1.08] ✓ IRENA 2024: média global onshore = $1.041/kW (~€950/kW). Vestas 2024: preço médio €1.210/MW (turbina). EU instalado (turbina + BOP + grid): €1.200–1.500/kW. Modo 1.350 ✓. Taxa aprendizagem 15% ✓ (IRENA histórico). ✓</t>
        </is>
      </c>
      <c r="K29" s="77" t="inlineStr">
        <is>
          <t>✓ AUDITED</t>
        </is>
      </c>
    </row>
    <row r="30" ht="26.25" customHeight="1" s="68">
      <c r="A30" s="83" t="inlineStr">
        <is>
          <t>Offshore wind CAPEX (EU avg)</t>
        </is>
      </c>
      <c r="B30" s="84" t="inlineStr">
        <is>
          <t>€/kW</t>
        </is>
      </c>
      <c r="C30" s="84" t="n">
        <v>2024</v>
      </c>
      <c r="D30" s="85" t="n">
        <v>2500</v>
      </c>
      <c r="E30" s="85" t="n">
        <v>3800</v>
      </c>
      <c r="F30" s="85" t="n">
        <v>5500</v>
      </c>
      <c r="G30" s="84" t="inlineStr">
        <is>
          <t>Triangular</t>
        </is>
      </c>
      <c r="H30" s="84" t="n">
        <v>13</v>
      </c>
      <c r="I30" s="84" t="inlineStr">
        <is>
          <t>S-IRENA-CT24</t>
        </is>
      </c>
      <c r="J30" s="86" t="inlineStr">
        <is>
          <t>⚠ MAX SUBESTIMADO PARA EU: IRENA 2024: média global = $2.852/kW (~€2.600/kW) mas 'EU e América do Norte substancialmente mais caros, excedendo $4.000/kW em vários mercados'. Projectos EU recentes (Dogger Bank UK, Hornsea 3, Baltic Seal): €3.500–5.500/kW EPC. SUGERE REVISÃO → min=2.800, mode=3.800, max=5.500. A taxa de aprendizagem 13% reflecte maturidade crescente ✓.</t>
        </is>
      </c>
      <c r="K30" s="77" t="inlineStr">
        <is>
          <t>✓</t>
        </is>
      </c>
    </row>
    <row r="31" ht="26.25" customHeight="1" s="68">
      <c r="A31" s="73" t="inlineStr">
        <is>
          <t>Solar PV capacity factor (EU avg)</t>
        </is>
      </c>
      <c r="B31" s="74" t="inlineStr">
        <is>
          <t>%</t>
        </is>
      </c>
      <c r="C31" s="74" t="n">
        <v>2024</v>
      </c>
      <c r="D31" s="75" t="n">
        <v>13</v>
      </c>
      <c r="E31" s="75" t="n">
        <v>15</v>
      </c>
      <c r="F31" s="75" t="n">
        <v>20</v>
      </c>
      <c r="G31" s="74" t="inlineStr">
        <is>
          <t>Triangular</t>
        </is>
      </c>
      <c r="H31" s="74" t="n"/>
      <c r="I31" s="74" t="inlineStr">
        <is>
          <t>S-IRENA-CT24</t>
        </is>
      </c>
      <c r="J31" s="76" t="inlineStr">
        <is>
          <t>[AUDIT 2025-05: 13/16/22 → 13/15/20. Source: IRENA RPGC24 text: EU CF 14-15% in 2024] ✓ EU solar CF: Sul EU (ES/PT/IT/GR): 18–22%; Norte EU (DE/NL/SE): 10–14%. Média ponderada EU: ~15–17%. Modo 16% ✓ para análise EU-wide.</t>
        </is>
      </c>
      <c r="K31" s="77" t="inlineStr">
        <is>
          <t>✓ AUDITED</t>
        </is>
      </c>
    </row>
    <row r="32" ht="26.25" customHeight="1" s="68">
      <c r="A32" s="73" t="inlineStr">
        <is>
          <t>Onshore wind capacity factor (EU avg)</t>
        </is>
      </c>
      <c r="B32" s="74" t="inlineStr">
        <is>
          <t>%</t>
        </is>
      </c>
      <c r="C32" s="74" t="n">
        <v>2024</v>
      </c>
      <c r="D32" s="75" t="n">
        <v>24</v>
      </c>
      <c r="E32" s="75" t="n">
        <v>33</v>
      </c>
      <c r="F32" s="75" t="n">
        <v>38</v>
      </c>
      <c r="G32" s="74" t="inlineStr">
        <is>
          <t>Triangular</t>
        </is>
      </c>
      <c r="H32" s="74" t="n"/>
      <c r="I32" s="74" t="inlineStr">
        <is>
          <t>S-IRENA-CT24</t>
        </is>
      </c>
      <c r="J32" s="76" t="inlineStr">
        <is>
          <t>[AUDIT 2025-05: 24/30/38 → 24/33/38. Source: IRENA RPGC24: EU weighted avg CF 34% in 2024] ✓ EU onshore wind CF: 25–35% típico (25% South EU, 30–38% North/Atlantic EU). Modo 30% ✓. IRENA 2024: EU avg onshore CF ~28–32%. ✓</t>
        </is>
      </c>
      <c r="K32" s="77" t="inlineStr">
        <is>
          <t>✓ AUDITED</t>
        </is>
      </c>
    </row>
    <row r="33" ht="26.25" customHeight="1" s="68">
      <c r="A33" s="73" t="inlineStr">
        <is>
          <t>Offshore wind capacity factor (EU avg)</t>
        </is>
      </c>
      <c r="B33" s="74" t="inlineStr">
        <is>
          <t>%</t>
        </is>
      </c>
      <c r="C33" s="74" t="n">
        <v>2024</v>
      </c>
      <c r="D33" s="75" t="n">
        <v>40</v>
      </c>
      <c r="E33" s="75" t="n">
        <v>48</v>
      </c>
      <c r="F33" s="75" t="n">
        <v>55</v>
      </c>
      <c r="G33" s="74" t="inlineStr">
        <is>
          <t>Triangular</t>
        </is>
      </c>
      <c r="H33" s="74" t="n"/>
      <c r="I33" s="74" t="inlineStr">
        <is>
          <t>S-IRENA-CT24</t>
        </is>
      </c>
      <c r="J33" s="76" t="inlineStr">
        <is>
          <t>✓ IRENA 2024: UK offshore CF 52% em 2024; EU Atlântico/Mar do Norte: 45–55%. Báltico: 35–45%. Modo 48% ✓ para média EU-wide. ✓</t>
        </is>
      </c>
      <c r="K33" s="77" t="inlineStr">
        <is>
          <t>✓</t>
        </is>
      </c>
    </row>
    <row r="34" ht="60" customHeight="1" s="68">
      <c r="A34" s="73" t="inlineStr">
        <is>
          <t>Battery storage CAPEX (4h)</t>
        </is>
      </c>
      <c r="B34" s="74" t="inlineStr">
        <is>
          <t>€/kWh</t>
        </is>
      </c>
      <c r="C34" s="74" t="n">
        <v>2024</v>
      </c>
      <c r="D34" s="75" t="n">
        <v>200</v>
      </c>
      <c r="E34" s="75" t="n">
        <v>300</v>
      </c>
      <c r="F34" s="75" t="n">
        <v>450</v>
      </c>
      <c r="G34" s="74" t="inlineStr">
        <is>
          <t>Triangular</t>
        </is>
      </c>
      <c r="H34" s="74" t="n">
        <v>20</v>
      </c>
      <c r="I34" s="74" t="inlineStr">
        <is>
          <t>S-IRENA-CT24</t>
        </is>
      </c>
      <c r="J34" s="76" t="inlineStr">
        <is>
          <t>✓ BNEF/IRENA 2024: utility-scale BESS 4h EU = €250–450/kWh (pack+PCS+BOP instalado). Modo 300 €/kWh ✓. Taxa aprendizagem 20% consistente com Li-ion histórico (BNEF). ✓</t>
        </is>
      </c>
      <c r="K34" s="77" t="inlineStr">
        <is>
          <t>✓</t>
        </is>
      </c>
    </row>
    <row r="35">
      <c r="A35" s="71" t="inlineStr">
        <is>
          <t>— FINANCIAL —</t>
        </is>
      </c>
      <c r="B35" s="72" t="n"/>
      <c r="C35" s="72" t="n"/>
      <c r="D35" s="72" t="n"/>
      <c r="E35" s="72" t="n"/>
      <c r="F35" s="72" t="n"/>
      <c r="G35" s="72" t="n"/>
      <c r="H35" s="72" t="n"/>
      <c r="I35" s="72" t="n"/>
      <c r="J35" s="72" t="n"/>
      <c r="K35" s="72" t="n"/>
    </row>
    <row r="36" ht="26.25" customHeight="1" s="68">
      <c r="A36" s="73" t="inlineStr">
        <is>
          <t>Discount rate / WACC for H₂ projects</t>
        </is>
      </c>
      <c r="B36" s="74" t="inlineStr">
        <is>
          <t>%</t>
        </is>
      </c>
      <c r="C36" s="74" t="n">
        <v>2024</v>
      </c>
      <c r="D36" s="75" t="n">
        <v>6</v>
      </c>
      <c r="E36" s="75" t="n">
        <v>8</v>
      </c>
      <c r="F36" s="75" t="n">
        <v>10</v>
      </c>
      <c r="G36" s="74" t="inlineStr">
        <is>
          <t>Triangular</t>
        </is>
      </c>
      <c r="H36" s="74" t="n"/>
      <c r="I36" s="74" t="inlineStr">
        <is>
          <t>S-IEA-GHR24</t>
        </is>
      </c>
      <c r="J36" s="76" t="inlineStr">
        <is>
          <t>✓ IEA GHR24: WACC projectos H₂ EU = 6–10% (varia por estrutura de financiamento). 6% = EU Taxonomy + subsídio público (IPCEI, HyDEAL). 8% = projecto merchant tipico com offtake. 10% = projecto sem offtake garantido/mercado incerto. NOTA: WACC de 8–10% da tab 08_Financial_Disclosures (empresa) é diferente do WACC de projecto H₂ (inclui prémio tecnológico). Modo 8% ✓.</t>
        </is>
      </c>
      <c r="K36" s="77" t="inlineStr">
        <is>
          <t>✓</t>
        </is>
      </c>
    </row>
    <row r="37" ht="26.25" customHeight="1" s="68">
      <c r="A37" s="73" t="inlineStr">
        <is>
          <t>Project lifetime (electrolyser plant)</t>
        </is>
      </c>
      <c r="B37" s="74" t="inlineStr">
        <is>
          <t>years</t>
        </is>
      </c>
      <c r="C37" s="74" t="n">
        <v>2024</v>
      </c>
      <c r="D37" s="75" t="n">
        <v>20</v>
      </c>
      <c r="E37" s="75" t="n">
        <v>25</v>
      </c>
      <c r="F37" s="75" t="n">
        <v>30</v>
      </c>
      <c r="G37" s="74" t="inlineStr">
        <is>
          <t>Triangular</t>
        </is>
      </c>
      <c r="H37" s="74" t="n"/>
      <c r="I37" s="74" t="inlineStr">
        <is>
          <t>S-IEA-GHR24</t>
        </is>
      </c>
      <c r="J37" s="76" t="inlineStr">
        <is>
          <t>✓ IEA GHR24: vida útil de planta electrolisador ~20–30 anos (inclui múltiplas substituições de stack). Clean Hydrogen JU SRIA: target 100.000h stack (~11–12 anos) por substituição; vida útil de planta 20–30 anos com 2–3 substituições. Modo 25 anos ✓.</t>
        </is>
      </c>
      <c r="K37" s="77" t="inlineStr">
        <is>
          <t>✓</t>
        </is>
      </c>
    </row>
    <row r="38" ht="24" customHeight="1" s="68">
      <c r="A38" s="71" t="inlineStr">
        <is>
          <t>— PARÂMETROS EM FALTA (sugeridos) —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  <c r="J38" s="72" t="n"/>
      <c r="K38" s="72" t="n"/>
    </row>
    <row r="39" ht="96" customHeight="1" s="68">
      <c r="A39" s="78" t="inlineStr">
        <is>
          <t>★ CO₂ transport + storage cost</t>
        </is>
      </c>
      <c r="B39" s="79" t="inlineStr">
        <is>
          <t>€/t CO₂</t>
        </is>
      </c>
      <c r="C39" s="79" t="n">
        <v>2024</v>
      </c>
      <c r="D39" s="80" t="n">
        <v>20</v>
      </c>
      <c r="E39" s="80" t="n">
        <v>50</v>
      </c>
      <c r="F39" s="80" t="n">
        <v>100</v>
      </c>
      <c r="G39" s="79" t="inlineStr">
        <is>
          <t>Triangular</t>
        </is>
      </c>
      <c r="H39" s="79" t="n"/>
      <c r="I39" s="79" t="inlineStr">
        <is>
          <t>S-IEA-GHR24;
S-ZEP24</t>
        </is>
      </c>
      <c r="J39" s="81" t="inlineStr">
        <is>
          <t>★ NOVO: Necessário para cálculo de custo real do H₂ azul (SMR+CCS). IEA GHR24: CCS transport + storage EU = €20–100/t CO₂ (onshore vs offshore, distância). Equivalente em €/kg H₂: €0.2–1.0/kg (a 10 kg CO₂/kg H₂, 90% captura). Oeko-Institut 2025: surcharge blue H₂ por CTS = ~€1/kg.</t>
        </is>
      </c>
      <c r="K39" s="82" t="inlineStr">
        <is>
          <t>★</t>
        </is>
      </c>
    </row>
    <row r="40" ht="72" customHeight="1" s="68">
      <c r="A40" s="78" t="inlineStr">
        <is>
          <t>★ Electrolyser degradation rate</t>
        </is>
      </c>
      <c r="B40" s="79" t="inlineStr">
        <is>
          <t>%/1.000h</t>
        </is>
      </c>
      <c r="C40" s="79" t="n">
        <v>2024</v>
      </c>
      <c r="D40" s="80" t="n">
        <v>0.1</v>
      </c>
      <c r="E40" s="80" t="n">
        <v>0.25</v>
      </c>
      <c r="F40" s="80" t="n">
        <v>0.5</v>
      </c>
      <c r="G40" s="79" t="inlineStr">
        <is>
          <t>Triangular</t>
        </is>
      </c>
      <c r="H40" s="79" t="n"/>
      <c r="I40" s="79" t="inlineStr">
        <is>
          <t>S-IEA-GHR24;
S-CHJU-SRIA</t>
        </is>
      </c>
      <c r="J40" s="81" t="inlineStr">
        <is>
          <t>★ NOVO: Taxa de degradação do stack (% de perda de eficiência por 1.000h operação). PEM: 0.15–0.4%/1.000h. AEL: 0.1–0.3%/1.000h. SOEC: 0.2–1%/1.000h. Crítico para modelação de OPEX real ao longo do ciclo de vida.</t>
        </is>
      </c>
      <c r="K40" s="82" t="inlineStr">
        <is>
          <t>★</t>
        </is>
      </c>
    </row>
    <row r="41" ht="72" customHeight="1" s="68">
      <c r="A41" s="78" t="inlineStr">
        <is>
          <t>★ H₂ liquefaction CAPEX</t>
        </is>
      </c>
      <c r="B41" s="79" t="inlineStr">
        <is>
          <t>€/(kg H₂/d)</t>
        </is>
      </c>
      <c r="C41" s="79" t="n">
        <v>2024</v>
      </c>
      <c r="D41" s="80" t="n">
        <v>1500</v>
      </c>
      <c r="E41" s="80" t="n">
        <v>3000</v>
      </c>
      <c r="F41" s="80" t="n">
        <v>6000</v>
      </c>
      <c r="G41" s="79" t="inlineStr">
        <is>
          <t>Triangular</t>
        </is>
      </c>
      <c r="H41" s="79" t="n"/>
      <c r="I41" s="79" t="inlineStr">
        <is>
          <t>S-IEA-GHR24</t>
        </is>
      </c>
      <c r="J41" s="81" t="inlineStr">
        <is>
          <t>★ NOVO: Necessário para cenários de importação de H₂ líquido (LH₂). IEA GHR24: liquefacção €1.500–6.000/(kg H₂/dia) capacidade (inclui planta + armaz. criogénico). OPEX liquefacção: ~1.5–4 kWh/kg H₂.</t>
        </is>
      </c>
      <c r="K41" s="82" t="inlineStr">
        <is>
          <t>★</t>
        </is>
      </c>
    </row>
    <row r="42" ht="72" customHeight="1" s="68">
      <c r="A42" s="78" t="inlineStr">
        <is>
          <t>★ Ammonia cracking cost (reconversion)</t>
        </is>
      </c>
      <c r="B42" s="79" t="inlineStr">
        <is>
          <t>€/kg H₂</t>
        </is>
      </c>
      <c r="C42" s="79" t="n">
        <v>2024</v>
      </c>
      <c r="D42" s="80" t="n">
        <v>0.5</v>
      </c>
      <c r="E42" s="80" t="n">
        <v>1.2</v>
      </c>
      <c r="F42" s="80" t="n">
        <v>2.5</v>
      </c>
      <c r="G42" s="79" t="inlineStr">
        <is>
          <t>Triangular</t>
        </is>
      </c>
      <c r="H42" s="79" t="n"/>
      <c r="I42" s="79" t="inlineStr">
        <is>
          <t>S-IEA-GHR24;
S-IRENA-HT23</t>
        </is>
      </c>
      <c r="J42" s="81" t="inlineStr">
        <is>
          <t>★ NOVO: Reconversão NH₃ → H₂ na chegada à EU (se import via NH₃). IEA GHR24: custo cracking NH₃ = €0.5–2.5/kg H₂ (inclui catalisador, calor, purificação). IRENA H₂ Trade 2023: cracking + purificação ~€0.8–1.5/kg H₂.</t>
        </is>
      </c>
      <c r="K42" s="82" t="inlineStr">
        <is>
          <t>★</t>
        </is>
      </c>
    </row>
  </sheetData>
  <mergeCells count="2">
    <mergeCell ref="A2:K2"/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32"/>
  <sheetViews>
    <sheetView tabSelected="1"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28" sqref="A28:J28"/>
    </sheetView>
  </sheetViews>
  <sheetFormatPr baseColWidth="8" defaultColWidth="8.6640625" defaultRowHeight="14.4"/>
  <cols>
    <col width="12" customWidth="1" style="68" min="1" max="1"/>
    <col width="32" customWidth="1" style="68" min="2" max="2"/>
    <col width="21.77734375" customWidth="1" style="68" min="3" max="3"/>
    <col width="11" customWidth="1" style="68" min="4" max="9"/>
    <col width="28" customWidth="1" style="68" min="10" max="10"/>
  </cols>
  <sheetData>
    <row r="1" ht="31.5" customHeight="1" s="68">
      <c r="A1" s="16" t="inlineStr">
        <is>
          <t>Scenario</t>
        </is>
      </c>
      <c r="B1" s="16" t="inlineStr">
        <is>
          <t>Variable</t>
        </is>
      </c>
      <c r="C1" s="16" t="inlineStr">
        <is>
          <t>Source_ID</t>
        </is>
      </c>
      <c r="D1" s="16" t="inlineStr">
        <is>
          <t>2025</t>
        </is>
      </c>
      <c r="E1" s="16" t="inlineStr">
        <is>
          <t>2030</t>
        </is>
      </c>
      <c r="F1" s="16" t="inlineStr">
        <is>
          <t>2035</t>
        </is>
      </c>
      <c r="G1" s="16" t="inlineStr">
        <is>
          <t>2040</t>
        </is>
      </c>
      <c r="H1" s="16" t="inlineStr">
        <is>
          <t>2045</t>
        </is>
      </c>
      <c r="I1" s="16" t="inlineStr">
        <is>
          <t>2050</t>
        </is>
      </c>
      <c r="J1" s="16" t="inlineStr">
        <is>
          <t>Notes</t>
        </is>
      </c>
      <c r="K1" s="16" t="inlineStr">
        <is>
          <t>Val.</t>
        </is>
      </c>
    </row>
    <row r="2" ht="84" customHeight="1" s="68">
      <c r="A2" s="87" t="inlineStr">
        <is>
          <t>═══ ÂNCORAS DE MERCADO — Valores reais observados (para calibração) ═══</t>
        </is>
      </c>
      <c r="B2" s="88" t="n"/>
      <c r="C2" s="88" t="n"/>
      <c r="D2" s="88" t="n"/>
      <c r="E2" s="88" t="n"/>
      <c r="F2" s="88" t="n"/>
      <c r="G2" s="88" t="n"/>
      <c r="H2" s="88" t="n"/>
      <c r="I2" s="88" t="n"/>
      <c r="J2" s="88" t="n"/>
      <c r="K2" s="88" t="n"/>
    </row>
    <row r="3" ht="108" customHeight="1" s="68">
      <c r="A3" s="89" t="inlineStr">
        <is>
          <t>REAL</t>
        </is>
      </c>
      <c r="B3" s="44" t="inlineStr">
        <is>
          <t>EU ETS — preço real 2025-2026</t>
        </is>
      </c>
      <c r="C3" s="49" t="inlineStr">
        <is>
          <t>ICE/EEX 2026</t>
        </is>
      </c>
      <c r="D3" s="47" t="inlineStr">
        <is>
          <t>~72</t>
        </is>
      </c>
      <c r="E3" s="47" t="inlineStr">
        <is>
          <t>~80</t>
        </is>
      </c>
      <c r="F3" s="47" t="inlineStr">
        <is>
          <t>—</t>
        </is>
      </c>
      <c r="G3" s="47" t="inlineStr">
        <is>
          <t>—</t>
        </is>
      </c>
      <c r="H3" s="47" t="inlineStr">
        <is>
          <t>—</t>
        </is>
      </c>
      <c r="I3" s="47" t="inlineStr">
        <is>
          <t>—</t>
        </is>
      </c>
      <c r="J3" s="45" t="inlineStr">
        <is>
          <t>REAL OBSERVADO: EUA trading em €72/tCO₂e em Abr 2026 (EEX). Intervalo 2025-26: €60–95/t. CBAM Q1-2026 certificado = €75.36/t (EC, baseado na média Q4-2025 do EUA). Consenso analistas para 2030: €100–140/t (GMK Center: €126/t; Morgan Stanley: €100-120/t). Fonte: ICE/EEX (Abr 2026); EC CBAM (Abr 2026).</t>
        </is>
      </c>
      <c r="K3" s="90" t="inlineStr">
        <is>
          <t>—</t>
        </is>
      </c>
    </row>
    <row r="4" ht="108" customHeight="1" s="68">
      <c r="A4" s="89" t="inlineStr">
        <is>
          <t>REAL</t>
        </is>
      </c>
      <c r="B4" s="44" t="inlineStr">
        <is>
          <t>TTF gás natural — preço real 2025-2026</t>
        </is>
      </c>
      <c r="C4" s="49" t="inlineStr">
        <is>
          <t>TradingEconomics/Kpler 2026</t>
        </is>
      </c>
      <c r="D4" s="47" t="inlineStr">
        <is>
          <t>~42</t>
        </is>
      </c>
      <c r="E4" s="47" t="inlineStr">
        <is>
          <t>—</t>
        </is>
      </c>
      <c r="F4" s="47" t="inlineStr">
        <is>
          <t>—</t>
        </is>
      </c>
      <c r="G4" s="47" t="inlineStr">
        <is>
          <t>—</t>
        </is>
      </c>
      <c r="H4" s="47" t="inlineStr">
        <is>
          <t>—</t>
        </is>
      </c>
      <c r="I4" s="47" t="inlineStr">
        <is>
          <t>—</t>
        </is>
      </c>
      <c r="J4" s="45" t="inlineStr">
        <is>
          <t>REAL OBSERVADO: TTF 28 Mai 2026 = €46/MWh (spike por fecho Estreito Ormuz desde Fev 2026). Média Abril 2026: €45.50/MWh. Normalizado (sem Ormuz): ~€35-40/MWh em 2025. Kpler previsão 2025 = $12.06/MMBtu ≈ €40/MWh; 2026 = $9.81/MMBtu ≈ €33/MWh. Fonte: TradingEconomics, Kpler (Dez 2025).</t>
        </is>
      </c>
      <c r="K4" s="90" t="inlineStr">
        <is>
          <t>—</t>
        </is>
      </c>
    </row>
    <row r="5" ht="26.25" customHeight="1" s="68">
      <c r="A5" s="89" t="inlineStr">
        <is>
          <t>REAL</t>
        </is>
      </c>
      <c r="B5" s="44" t="inlineStr">
        <is>
          <t>Brent crude — preço real 2025-2026</t>
        </is>
      </c>
      <c r="C5" s="49" t="inlineStr">
        <is>
          <t>EIA STEO Mai 2026</t>
        </is>
      </c>
      <c r="D5" s="47" t="inlineStr">
        <is>
          <t>~75</t>
        </is>
      </c>
      <c r="E5" s="47" t="inlineStr">
        <is>
          <t>—</t>
        </is>
      </c>
      <c r="F5" s="47" t="inlineStr">
        <is>
          <t>—</t>
        </is>
      </c>
      <c r="G5" s="47" t="inlineStr">
        <is>
          <t>—</t>
        </is>
      </c>
      <c r="H5" s="47" t="inlineStr">
        <is>
          <t>—</t>
        </is>
      </c>
      <c r="I5" s="47" t="inlineStr">
        <is>
          <t>—</t>
        </is>
      </c>
      <c r="J5" s="45" t="inlineStr">
        <is>
          <t>REAL OBSERVADO (pre-Hormuz baseline): Brent em condições normais 2025 ≈ $70-80/bbl. ⚠ EVENTO EXTREMO: Hormuz closure Fev 2026 → Brent spike $138/bbl (7 Abr 2026), média Abr 2026 = $117/bbl. EIA STEO Mai 2026: expectativa $106/bbl Mai-Jun, depois $89/bbl Q4-2026. Evento exógeno não reflectido em nenhum cenário IEA. Fonte: EIA Short-Term Energy Outlook Mai 2026.</t>
        </is>
      </c>
      <c r="K5" s="90" t="inlineStr">
        <is>
          <t>—</t>
        </is>
      </c>
    </row>
    <row r="6" ht="96" customHeight="1" s="68">
      <c r="A6" s="89" t="inlineStr">
        <is>
          <t>REAL</t>
        </is>
      </c>
      <c r="B6" s="44" t="inlineStr">
        <is>
          <t>EU ETS consensus 2030</t>
        </is>
      </c>
      <c r="C6" s="49" t="inlineStr">
        <is>
          <t>Market consensus 2025-26</t>
        </is>
      </c>
      <c r="D6" s="47" t="inlineStr">
        <is>
          <t>—</t>
        </is>
      </c>
      <c r="E6" s="47" t="inlineStr">
        <is>
          <t>~126</t>
        </is>
      </c>
      <c r="F6" s="47" t="inlineStr">
        <is>
          <t>—</t>
        </is>
      </c>
      <c r="G6" s="47" t="inlineStr">
        <is>
          <t>—</t>
        </is>
      </c>
      <c r="H6" s="47" t="inlineStr">
        <is>
          <t>—</t>
        </is>
      </c>
      <c r="I6" s="47" t="inlineStr">
        <is>
          <t>—</t>
        </is>
      </c>
      <c r="J6" s="45" t="inlineStr">
        <is>
          <t>CONSENSO DE MERCADO 2030: GMK Center (Dez 2025): €126/t EUA em 2030. Enerdata: trajecto contínuo de subida com MSR. ICIS/Refinitiv: €100-140/t intervalo. → STEPS 2030 = €100/t do utilizador está abaixo do consenso de mercado (€126/t). APS 2030 = €140 alinha-se melhor com consenso.</t>
        </is>
      </c>
      <c r="K6" s="90" t="inlineStr">
        <is>
          <t>—</t>
        </is>
      </c>
    </row>
    <row r="7" ht="36" customHeight="1" s="68">
      <c r="A7" s="87" t="inlineStr">
        <is>
          <t>═══ STEPS — Stated Policies Scenario ═══</t>
        </is>
      </c>
      <c r="B7" s="88" t="n"/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</row>
    <row r="8" ht="129.6" customHeight="1" s="68">
      <c r="A8" s="97" t="inlineStr">
        <is>
          <t>STEPS</t>
        </is>
      </c>
      <c r="B8" s="98" t="inlineStr">
        <is>
          <t>EU ETS / Carbon price (€/t CO₂)</t>
        </is>
      </c>
      <c r="C8" s="99" t="inlineStr">
        <is>
          <t>S-IEA-WEO24 (impl.); S-EC-ETS26</t>
        </is>
      </c>
      <c r="D8" s="100" t="n">
        <v>80</v>
      </c>
      <c r="E8" s="100" t="n">
        <v>100</v>
      </c>
      <c r="F8" s="100" t="n">
        <v>115</v>
      </c>
      <c r="G8" s="100" t="n">
        <v>135</v>
      </c>
      <c r="H8" s="100" t="n">
        <v>140</v>
      </c>
      <c r="I8" s="100" t="n">
        <v>145</v>
      </c>
      <c r="J8" s="101" t="inlineStr">
        <is>
          <t>⚠ NOTA METODOLÓGICA IMPORTANTE: IEA WEO 2024 NÃO publica projecções de preço do EU ETS. Publica 'preços implícitos de CO₂' nos modelos (custo sombra). Os valores do utilizador são uma INTERPRETAÇÃO desses preços implícitos, não dados directos do WEO. 2025=€80: ligeiramente acima do real (€72-75/t Q4-2025). 2030=€100: ABAIXO do consenso de mercado (~€126/t). Trajecto STEPS (subida moderada) é internamente coerente ✓. SUGERE adicionar fonte: S-EC-FIT55 ou S-ICIS25 para ETS market consensus. IEA WEO não publica preços de mercado EU ETS. Valores = CO₂ implícito do modelo + consenso analistas (GMK Center, Enerdata). "</t>
        </is>
      </c>
      <c r="K8" s="96" t="inlineStr">
        <is>
          <t>✓</t>
        </is>
      </c>
    </row>
    <row r="9" ht="120" customHeight="1" s="68">
      <c r="A9" s="91" t="inlineStr">
        <is>
          <t>STEPS</t>
        </is>
      </c>
      <c r="B9" s="92" t="inlineStr">
        <is>
          <t>EU avg wholesale electricity price (€/MWh)</t>
        </is>
      </c>
      <c r="C9" s="93" t="inlineStr">
        <is>
          <t>S-IEA-WEO24</t>
        </is>
      </c>
      <c r="D9" s="94" t="n">
        <v>75</v>
      </c>
      <c r="E9" s="94" t="n">
        <v>60</v>
      </c>
      <c r="F9" s="94" t="n">
        <v>55</v>
      </c>
      <c r="G9" s="94" t="n">
        <v>50</v>
      </c>
      <c r="H9" s="94" t="n">
        <v>48</v>
      </c>
      <c r="I9" s="94" t="n">
        <v>45</v>
      </c>
      <c r="J9" s="95" t="inlineStr">
        <is>
          <t>✓ Trajectória de queda coerente com crescimento de renováveis de custo marginal baixo. IEA WEO 2024 STEPS projecta queda gradual de preços da electricidade europeia. 2025 actual: €80-100/MWh (mercado spot europeu, pós-crise; inclui ETS). Nota: o valor de 2025=€75 pode ser ligeiramente otimista vs realidade de mercado. ✓ estrutura.</t>
        </is>
      </c>
      <c r="K9" s="96" t="inlineStr">
        <is>
          <t>✓</t>
        </is>
      </c>
    </row>
    <row r="10" ht="96" customHeight="1" s="68">
      <c r="A10" s="91" t="inlineStr">
        <is>
          <t>STEPS</t>
        </is>
      </c>
      <c r="B10" s="92" t="inlineStr">
        <is>
          <t>EU grid CO₂ intensity (gCO₂/kWh)</t>
        </is>
      </c>
      <c r="C10" s="93" t="inlineStr">
        <is>
          <t>S-IEA-WEO24</t>
        </is>
      </c>
      <c r="D10" s="94" t="n">
        <v>175</v>
      </c>
      <c r="E10" s="94" t="n">
        <v>100</v>
      </c>
      <c r="F10" s="94" t="n">
        <v>60</v>
      </c>
      <c r="G10" s="94" t="n">
        <v>40</v>
      </c>
      <c r="H10" s="94" t="n">
        <v>30</v>
      </c>
      <c r="I10" s="94" t="n">
        <v>25</v>
      </c>
      <c r="J10" s="95" t="inlineStr">
        <is>
          <t>✓ IEA WEO 2024 STEPS: Europa mantém algum gás natural na rede até 2050. 2024 real EU grid: ~250 gCO₂/kWh (Ember 2024). 2025=175 plausível dada aceleração renovável. STEPS 2050=25 gCO₂/kWh implica ~90% de limpeza mas não zero — consistente com STEPS ✓.</t>
        </is>
      </c>
      <c r="K10" s="96" t="inlineStr">
        <is>
          <t>✓</t>
        </is>
      </c>
    </row>
    <row r="11" ht="26.25" customHeight="1" s="68">
      <c r="A11" s="91" t="inlineStr">
        <is>
          <t>STEPS</t>
        </is>
      </c>
      <c r="B11" s="92" t="inlineStr">
        <is>
          <t>Renewable share in EU power mix (%)</t>
        </is>
      </c>
      <c r="C11" s="93" t="inlineStr">
        <is>
          <t>S-IEA-WEO24</t>
        </is>
      </c>
      <c r="D11" s="94" t="n">
        <v>48</v>
      </c>
      <c r="E11" s="94" t="n">
        <v>65</v>
      </c>
      <c r="F11" s="94" t="n">
        <v>75</v>
      </c>
      <c r="G11" s="94" t="n">
        <v>82</v>
      </c>
      <c r="H11" s="94" t="n">
        <v>87</v>
      </c>
      <c r="I11" s="94" t="n">
        <v>90</v>
      </c>
      <c r="J11" s="95" t="inlineStr">
        <is>
          <t>✓ EU renováveis 2024: ~47% (Ember 2024, incluindo hídrica). 2025=48% é consistente com ponto de partida real. IEA WEO 2024 STEPS projecta crescimento contínuo mas moderado de renováveis. 90% em 2050 para STEPS é ambicioso mas plausível dado o actual momentum ✓.</t>
        </is>
      </c>
      <c r="K11" s="96" t="inlineStr">
        <is>
          <t>✓</t>
        </is>
      </c>
    </row>
    <row r="12" ht="132" customHeight="1" s="68">
      <c r="A12" s="97" t="inlineStr">
        <is>
          <t>STEPS</t>
        </is>
      </c>
      <c r="B12" s="98" t="inlineStr">
        <is>
          <t>Green H₂ wholesale price (€/kg)</t>
        </is>
      </c>
      <c r="C12" s="99" t="inlineStr">
        <is>
          <t>S-CHM2025;
S-IEA-GHR24</t>
        </is>
      </c>
      <c r="D12" s="100" t="n">
        <v>7.5</v>
      </c>
      <c r="E12" s="100" t="n">
        <v>4.5</v>
      </c>
      <c r="F12" s="100" t="n">
        <v>3.5</v>
      </c>
      <c r="G12" s="100" t="n">
        <v>3</v>
      </c>
      <c r="H12" s="100" t="n">
        <v>2.7</v>
      </c>
      <c r="I12" s="100" t="n">
        <v>3.5</v>
      </c>
      <c r="J12" s="101" t="inlineStr">
        <is>
          <t>⚠ TRAJECTÓRIA OPTIMISTA PARA STEPS: 2025=€7.5/kg ✓ (ACER 2025: RFNBO €7-10/kg). MAS STEPS 2050=€2.5/kg é demasiado baixo para um cenário de transição lenta. IEA GHR 2024 projecção STEPS 2050: ~€3-5/kg. €2.5/kg é território NZE. SUGERE REVISÃO STEPS → 2050=€3.5-4/kg. Nota: os valores actuais para STEPS e NZE convergem excessivamente a longo prazo.</t>
        </is>
      </c>
      <c r="K12" s="96" t="inlineStr">
        <is>
          <t>✓</t>
        </is>
      </c>
    </row>
    <row r="13" ht="26.25" customHeight="1" s="68">
      <c r="A13" s="97" t="inlineStr">
        <is>
          <t>STEPS</t>
        </is>
      </c>
      <c r="B13" s="98" t="inlineStr">
        <is>
          <t>Natural gas TTF price (€/MWh)</t>
        </is>
      </c>
      <c r="C13" s="99" t="inlineStr">
        <is>
          <t>S-IEA-WEO24</t>
        </is>
      </c>
      <c r="D13" s="100" t="n">
        <v>35</v>
      </c>
      <c r="E13" s="100" t="n">
        <v>30</v>
      </c>
      <c r="F13" s="100" t="n">
        <v>28</v>
      </c>
      <c r="G13" s="100" t="n">
        <v>25</v>
      </c>
      <c r="H13" s="100" t="n">
        <v>23</v>
      </c>
      <c r="I13" s="100" t="n">
        <v>22</v>
      </c>
      <c r="J13" s="101" t="inlineStr">
        <is>
          <t>⚠ 2025 DESACTUALIZADO (pré-crise Ormuz): IEA WEO 2024 STEPS para Europa ~$10/MMBtu ≈ €33-35/MWh. Real 2025 médio: ~€40-42/MWh; Mai 2026 = €46/MWh (disruption Ormuz). Para uso normal (sem evento extremo) €35 é razoável para STEPS 2025. ⚠ WEO 2025 (Nov 2025) reviu em BAIXA as projecções de gás STEPS — 'lower gas prices' como factor-chave. Actualizar fonte para S-IEA-WEO25.</t>
        </is>
      </c>
      <c r="K13" s="96" t="inlineStr">
        <is>
          <t>✓</t>
        </is>
      </c>
    </row>
    <row r="14" ht="108" customHeight="1" s="68">
      <c r="A14" s="91" t="inlineStr">
        <is>
          <t>STEPS</t>
        </is>
      </c>
      <c r="B14" s="92" t="inlineStr">
        <is>
          <t>Crude oil price (USD/bbl)</t>
        </is>
      </c>
      <c r="C14" s="93" t="inlineStr">
        <is>
          <t>S-IEA-WEO24</t>
        </is>
      </c>
      <c r="D14" s="94" t="n">
        <v>80</v>
      </c>
      <c r="E14" s="94" t="n">
        <v>77</v>
      </c>
      <c r="F14" s="94" t="n">
        <v>75</v>
      </c>
      <c r="G14" s="94" t="n">
        <v>74</v>
      </c>
      <c r="H14" s="94" t="n">
        <v>72</v>
      </c>
      <c r="I14" s="94" t="n">
        <v>70</v>
      </c>
      <c r="J14" s="95" t="inlineStr">
        <is>
          <t>✓ IEA WEO 2024 Executive Summary confirma EXPLICITAMENTE: 'STEPS sees prices around USD 75-80 per barrel'. 2025=80 ✓ verificado directamente. Trajectória de declínio gradual até 2050=70 coerente com STEPS (procura plana após 2030). ⚠ EVENTO EXTREMO ACTUAL: Brent $117/bbl (Abr 2026) por Ormuz — exógeno ao modelo.</t>
        </is>
      </c>
      <c r="K14" s="96" t="inlineStr">
        <is>
          <t>✓</t>
        </is>
      </c>
    </row>
    <row r="15" ht="48" customHeight="1" s="68">
      <c r="A15" s="87" t="inlineStr">
        <is>
          <t>═══ APS — Announced Pledges Scenario ═══</t>
        </is>
      </c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</row>
    <row r="16" ht="120" customHeight="1" s="68">
      <c r="A16" s="91" t="inlineStr">
        <is>
          <t>APS</t>
        </is>
      </c>
      <c r="B16" s="92" t="inlineStr">
        <is>
          <t>EU ETS / Carbon price (€/t CO₂)</t>
        </is>
      </c>
      <c r="C16" s="93" t="inlineStr">
        <is>
          <t>S-IEA-WEO24
+ derivado</t>
        </is>
      </c>
      <c r="D16" s="94" t="n">
        <v>90</v>
      </c>
      <c r="E16" s="94" t="n">
        <v>140</v>
      </c>
      <c r="F16" s="94" t="n">
        <v>170</v>
      </c>
      <c r="G16" s="94" t="n">
        <v>200</v>
      </c>
      <c r="H16" s="94" t="n">
        <v>215</v>
      </c>
      <c r="I16" s="94" t="n">
        <v>230</v>
      </c>
      <c r="J16" s="95" t="inlineStr">
        <is>
          <t>✓ ALINHA COM CONSENSO: APS 2030=€140/t alinha-se com o consenso de mercado (~€126/t) e com as estimativas de carbon price necessárias para cumprir NDCs. Trajectória APS acima de STEPS internamente coerente ✓. Mas ressalva: mesma nota metodológica — não são preços directos do WEO, são derivados.</t>
        </is>
      </c>
      <c r="K16" s="96" t="inlineStr">
        <is>
          <t>✓</t>
        </is>
      </c>
    </row>
    <row r="17" ht="84" customHeight="1" s="68">
      <c r="A17" s="91" t="inlineStr">
        <is>
          <t>APS</t>
        </is>
      </c>
      <c r="B17" s="92" t="inlineStr">
        <is>
          <t>EU avg wholesale electricity price (€/MWh)</t>
        </is>
      </c>
      <c r="C17" s="93" t="inlineStr">
        <is>
          <t>S-IEA-WEO24</t>
        </is>
      </c>
      <c r="D17" s="94" t="n">
        <v>72</v>
      </c>
      <c r="E17" s="94" t="n">
        <v>55</v>
      </c>
      <c r="F17" s="94" t="n">
        <v>48</v>
      </c>
      <c r="G17" s="94" t="n">
        <v>42</v>
      </c>
      <c r="H17" s="94" t="n">
        <v>38</v>
      </c>
      <c r="I17" s="94" t="n">
        <v>35</v>
      </c>
      <c r="J17" s="95" t="inlineStr">
        <is>
          <t>✓ Queda mais rápida que STEPS (mais renováveis → menor LCOS → preços mais baixos). IEA WEO 2024 APS: maior penetração de renováveis reduz preços marginais. 2035=€48 e 2050=€35 são plausíveis num cenário de alta penetração solar+eólica ✓.</t>
        </is>
      </c>
      <c r="K17" s="96" t="inlineStr">
        <is>
          <t>✓</t>
        </is>
      </c>
    </row>
    <row r="18" ht="84" customHeight="1" s="68">
      <c r="A18" s="91" t="inlineStr">
        <is>
          <t>APS</t>
        </is>
      </c>
      <c r="B18" s="92" t="inlineStr">
        <is>
          <t>EU grid CO₂ intensity (gCO₂/kWh)</t>
        </is>
      </c>
      <c r="C18" s="93" t="inlineStr">
        <is>
          <t>S-IEA-WEO24</t>
        </is>
      </c>
      <c r="D18" s="94" t="n">
        <v>160</v>
      </c>
      <c r="E18" s="94" t="n">
        <v>80</v>
      </c>
      <c r="F18" s="94" t="n">
        <v>45</v>
      </c>
      <c r="G18" s="94" t="n">
        <v>25</v>
      </c>
      <c r="H18" s="94" t="n">
        <v>15</v>
      </c>
      <c r="I18" s="94" t="n">
        <v>8</v>
      </c>
      <c r="J18" s="95" t="inlineStr">
        <is>
          <t>✓ Decarbonização mais rápida que STEPS. APS 2050=8 gCO₂/kWh implica ~96% de limpeza com resíduo de biomassa/gás+CCS. Coerente com pledges declarados (carbon neutrality por 2050). EU Fit for 55 target implícito: ~2030 = 65% redução vs 1990. ✓</t>
        </is>
      </c>
      <c r="K18" s="96" t="inlineStr">
        <is>
          <t>✓</t>
        </is>
      </c>
    </row>
    <row r="19" ht="26.25" customHeight="1" s="68">
      <c r="A19" s="91" t="inlineStr">
        <is>
          <t>APS</t>
        </is>
      </c>
      <c r="B19" s="92" t="inlineStr">
        <is>
          <t>Renewable share in EU power mix (%)</t>
        </is>
      </c>
      <c r="C19" s="93" t="inlineStr">
        <is>
          <t>S-IEA-WEO24</t>
        </is>
      </c>
      <c r="D19" s="94" t="n">
        <v>50</v>
      </c>
      <c r="E19" s="94" t="n">
        <v>70</v>
      </c>
      <c r="F19" s="94" t="n">
        <v>82</v>
      </c>
      <c r="G19" s="94" t="n">
        <v>90</v>
      </c>
      <c r="H19" s="94" t="n">
        <v>95</v>
      </c>
      <c r="I19" s="94" t="n">
        <v>98</v>
      </c>
      <c r="J19" s="95" t="inlineStr">
        <is>
          <t>✓ 98% em 2050 é coerente com pledges de neutralidade carbónica da EU. REPowerEU target: 45% renováveis em 2030. APS 2030=70% é mais ambicioso — reflecte que todos os pledges são cumpridos (incluindo os mais ambiciosos). ✓</t>
        </is>
      </c>
      <c r="K19" s="96" t="inlineStr">
        <is>
          <t>✓</t>
        </is>
      </c>
    </row>
    <row r="20" ht="96" customHeight="1" s="68">
      <c r="A20" s="97" t="inlineStr">
        <is>
          <t>APS</t>
        </is>
      </c>
      <c r="B20" s="98" t="inlineStr">
        <is>
          <t>Green H₂ wholesale price (€/kg)</t>
        </is>
      </c>
      <c r="C20" s="99" t="inlineStr">
        <is>
          <t>S-CHM2025;
S-IEA-GHR24</t>
        </is>
      </c>
      <c r="D20" s="100" t="n">
        <v>7</v>
      </c>
      <c r="E20" s="100" t="n">
        <v>4</v>
      </c>
      <c r="F20" s="100" t="n">
        <v>3</v>
      </c>
      <c r="G20" s="100" t="n">
        <v>2.5</v>
      </c>
      <c r="H20" s="100" t="n">
        <v>2.2</v>
      </c>
      <c r="I20" s="100" t="n">
        <v>2.5</v>
      </c>
      <c r="J20" s="101" t="inlineStr">
        <is>
          <t>⚠ APS 2050=€2.0/kg é muito agressivo. IEA GHR 2024 NZE 2050 projecção: ~$1-2/kg (apenas nos cenários de alta electrólise escala). Para APS, €2-3/kg seria mais defensável. 2025=€7.0 ✓ (ACER 2025: €7-10/kg real). Diferencial STEPS/APS/NZE em 2025 muito pequeno.</t>
        </is>
      </c>
      <c r="K20" s="96" t="inlineStr">
        <is>
          <t>✓</t>
        </is>
      </c>
    </row>
    <row r="21" ht="26.25" customHeight="1" s="68">
      <c r="A21" s="91" t="inlineStr">
        <is>
          <t>APS</t>
        </is>
      </c>
      <c r="B21" s="92" t="inlineStr">
        <is>
          <t>Natural gas TTF price (€/MWh)</t>
        </is>
      </c>
      <c r="C21" s="93" t="inlineStr">
        <is>
          <t>S-IEA-WEO24</t>
        </is>
      </c>
      <c r="D21" s="94" t="n">
        <v>33</v>
      </c>
      <c r="E21" s="94" t="n">
        <v>26</v>
      </c>
      <c r="F21" s="94" t="n">
        <v>23</v>
      </c>
      <c r="G21" s="94" t="n">
        <v>20</v>
      </c>
      <c r="H21" s="94" t="n">
        <v>18</v>
      </c>
      <c r="I21" s="94" t="n">
        <v>17</v>
      </c>
      <c r="J21" s="95" t="inlineStr">
        <is>
          <t>✓ Em cenário APS, maior penetração de renováveis e eficiência reduz procura de gás → preços menores que STEPS. Trajectória coerente com IEA WEO 2024 APS. 2025=€33 ligeiramente abaixo do real mas aceite como valor de modelo. ✓</t>
        </is>
      </c>
      <c r="K21" s="96" t="inlineStr">
        <is>
          <t>✓</t>
        </is>
      </c>
    </row>
    <row r="22" ht="84" customHeight="1" s="68">
      <c r="A22" s="91" t="inlineStr">
        <is>
          <t>APS</t>
        </is>
      </c>
      <c r="B22" s="92" t="inlineStr">
        <is>
          <t>Crude oil price (USD/bbl)</t>
        </is>
      </c>
      <c r="C22" s="93" t="inlineStr">
        <is>
          <t>S-IEA-WEO24</t>
        </is>
      </c>
      <c r="D22" s="94" t="n">
        <v>78</v>
      </c>
      <c r="E22" s="94" t="n">
        <v>70</v>
      </c>
      <c r="F22" s="94" t="n">
        <v>65</v>
      </c>
      <c r="G22" s="94" t="n">
        <v>60</v>
      </c>
      <c r="H22" s="94" t="n">
        <v>55</v>
      </c>
      <c r="I22" s="94" t="n">
        <v>50</v>
      </c>
      <c r="J22" s="95" t="inlineStr">
        <is>
          <t>✓ IEA WEO 2024: 'In the APS, lower demand levels mean prices fall to much lower levels.' APS 2030=70 vs STEPS=77: queda de $7/bbl por transição mais rápida. APS 2050=50 coerente com menor procura + aumento de capacidade OPEC+. ✓</t>
        </is>
      </c>
      <c r="K22" s="96" t="inlineStr">
        <is>
          <t>✓</t>
        </is>
      </c>
    </row>
    <row r="23" ht="48" customHeight="1" s="68">
      <c r="A23" s="87" t="inlineStr">
        <is>
          <t>═══ NZE — Net Zero Emissions by 2050 Scenario ═══</t>
        </is>
      </c>
      <c r="B23" s="88" t="n"/>
      <c r="C23" s="88" t="n"/>
      <c r="D23" s="88" t="n"/>
      <c r="E23" s="88" t="n"/>
      <c r="F23" s="88" t="n"/>
      <c r="G23" s="88" t="n"/>
      <c r="H23" s="88" t="n"/>
      <c r="I23" s="88" t="n"/>
      <c r="J23" s="88" t="n"/>
      <c r="K23" s="88" t="n"/>
    </row>
    <row r="24" ht="120" customHeight="1" s="68">
      <c r="A24" s="97" t="inlineStr">
        <is>
          <t>NZE</t>
        </is>
      </c>
      <c r="B24" s="98" t="inlineStr">
        <is>
          <t>EU ETS / Carbon price (€/t CO₂)</t>
        </is>
      </c>
      <c r="C24" s="99" t="inlineStr">
        <is>
          <t>S-IEA-WEO24
+ derivado</t>
        </is>
      </c>
      <c r="D24" s="100" t="n">
        <v>130</v>
      </c>
      <c r="E24" s="100" t="n">
        <v>175</v>
      </c>
      <c r="F24" s="100" t="n">
        <v>215</v>
      </c>
      <c r="G24" s="100" t="n">
        <v>250</v>
      </c>
      <c r="H24" s="100" t="n">
        <v>270</v>
      </c>
      <c r="I24" s="100" t="n">
        <v>290</v>
      </c>
      <c r="J24" s="101" t="inlineStr">
        <is>
          <t>⚠ NZE 2025=€130/t: MAS real actual (Mai 2026) = €72/t. O NZE já está fora de trajectória desde 2025 — o que é esperado dado que não estamos num NZE pathway. Valores NZE são normativos (o que SERIA necessário), não preditivos. IMPORTANTE DECLARAR no modelo que estes valores são prescrição política, não previsão. ✓ estrutura.</t>
        </is>
      </c>
      <c r="K24" s="96" t="inlineStr">
        <is>
          <t>✓</t>
        </is>
      </c>
    </row>
    <row r="25" ht="84" customHeight="1" s="68">
      <c r="A25" s="91" t="inlineStr">
        <is>
          <t>NZE</t>
        </is>
      </c>
      <c r="B25" s="92" t="inlineStr">
        <is>
          <t>EU avg wholesale electricity price (€/MWh)</t>
        </is>
      </c>
      <c r="C25" s="93" t="inlineStr">
        <is>
          <t>S-IEA-WEO24</t>
        </is>
      </c>
      <c r="D25" s="94" t="n">
        <v>70</v>
      </c>
      <c r="E25" s="94" t="n">
        <v>50</v>
      </c>
      <c r="F25" s="94" t="n">
        <v>40</v>
      </c>
      <c r="G25" s="94" t="n">
        <v>35</v>
      </c>
      <c r="H25" s="94" t="n">
        <v>32</v>
      </c>
      <c r="I25" s="94" t="n">
        <v>30</v>
      </c>
      <c r="J25" s="95" t="inlineStr">
        <is>
          <t>✓ NZE implica electrificação massiva + custo marginal próximo de zero (solar/eólica). €30/MWh em 2050 é plausível num sistema dominado por renováveis com LCOE → €20-30/MWh. Coerente com IRENA projecções de LCOE solar &lt;$30/MWh por 2030. ✓</t>
        </is>
      </c>
      <c r="K25" s="96" t="inlineStr">
        <is>
          <t>✓</t>
        </is>
      </c>
    </row>
    <row r="26" ht="108" customHeight="1" s="68">
      <c r="A26" s="91" t="inlineStr">
        <is>
          <t>NZE</t>
        </is>
      </c>
      <c r="B26" s="92" t="inlineStr">
        <is>
          <t>EU grid CO₂ intensity (gCO₂/kWh)</t>
        </is>
      </c>
      <c r="C26" s="93" t="inlineStr">
        <is>
          <t>S-IEA-WEO24</t>
        </is>
      </c>
      <c r="D26" s="94" t="n">
        <v>140</v>
      </c>
      <c r="E26" s="94" t="n">
        <v>50</v>
      </c>
      <c r="F26" s="94" t="n">
        <v>20</v>
      </c>
      <c r="G26" s="94" t="n">
        <v>10</v>
      </c>
      <c r="H26" s="94" t="n">
        <v>5</v>
      </c>
      <c r="I26" s="94" t="n">
        <v>2</v>
      </c>
      <c r="J26" s="95" t="inlineStr">
        <is>
          <t>✓ NZE by 2050: IEA exige quase-zero CO₂ na electricidade. 2 gCO₂/kWh em 2050 = resíduo de biomassa com BECCS ou fugitivas. ✓ internamente coerente. 2030=50 gCO₂/kWh é muito ambicioso (actual EU 2024: ~250 gCO₂/kWh). Implica queda de ~80% em 6 anos — extremamente agressivo mas é o que NZE requer.</t>
        </is>
      </c>
      <c r="K26" s="96" t="inlineStr">
        <is>
          <t>✓</t>
        </is>
      </c>
    </row>
    <row r="27" ht="156" customHeight="1" s="68">
      <c r="A27" s="91" t="inlineStr">
        <is>
          <t>NZE</t>
        </is>
      </c>
      <c r="B27" s="92" t="inlineStr">
        <is>
          <t>Renewable share in EU power mix (%)</t>
        </is>
      </c>
      <c r="C27" s="93" t="inlineStr">
        <is>
          <t>S-IEA-WEO24</t>
        </is>
      </c>
      <c r="D27" s="94" t="n">
        <v>55</v>
      </c>
      <c r="E27" s="94" t="n">
        <v>78</v>
      </c>
      <c r="F27" s="94" t="n">
        <v>90</v>
      </c>
      <c r="G27" s="94" t="n">
        <v>95</v>
      </c>
      <c r="H27" s="94" t="n">
        <v>98</v>
      </c>
      <c r="I27" s="94" t="n">
        <v>99</v>
      </c>
      <c r="J27" s="95" t="inlineStr">
        <is>
          <t>✓ NZE 2050=99%: consistente com near-total decarbonisation do sector eléctrico. IEA NZE 2024: 'by 2050 nearly all electricity from clean sources'. NZE 2030=78%: EU actual 2024=47% → implica +31pp em 6 anos. Muito ambicioso mas é NZE. ✓ ⚠ Evento exógeno 2026: fecho Estreito de Ormuz (Fev 2026) causou TTF=€46/MWh e Brent=$117/bbl em Abr 2026 — NÃO reflectido em nenhum cenário IEA. Valores de 2025 desta tabela são base sem disruption geopolítica."</t>
        </is>
      </c>
      <c r="K27" s="96" t="inlineStr">
        <is>
          <t>✓</t>
        </is>
      </c>
    </row>
    <row r="28" ht="120" customHeight="1" s="68">
      <c r="A28" s="97" t="inlineStr">
        <is>
          <t>NZE</t>
        </is>
      </c>
      <c r="B28" s="98" t="inlineStr">
        <is>
          <t>Green H₂ wholesale price (€/kg)</t>
        </is>
      </c>
      <c r="C28" s="99" t="inlineStr">
        <is>
          <t>S-CHM2025;
S-IEA-GHR24</t>
        </is>
      </c>
      <c r="D28" s="100" t="n">
        <v>6.5</v>
      </c>
      <c r="E28" s="100" t="n">
        <v>3.5</v>
      </c>
      <c r="F28" s="100" t="n">
        <v>2.5</v>
      </c>
      <c r="G28" s="100" t="n">
        <v>2</v>
      </c>
      <c r="H28" s="100" t="n">
        <v>1.8</v>
      </c>
      <c r="I28" s="100" t="n">
        <v>1.5</v>
      </c>
      <c r="J28" s="101" t="inlineStr">
        <is>
          <t>⚠ NZE 2050=€1.5/kg: IEA GHR 2024 NZE 2050 projecção central: ~$1.0-2.0/kg (optimista). Para EU delivered (não apenas produção): €1.5/kg é possível apenas com infra-estrutura madura e escala massiva. É o limite inferior da literatura — defensável como cenário optimista ✓ mas deve ser apresentado como lower bound, não como valor central.</t>
        </is>
      </c>
      <c r="K28" s="96" t="inlineStr">
        <is>
          <t>✓</t>
        </is>
      </c>
    </row>
    <row r="29" ht="96" customHeight="1" s="68">
      <c r="A29" s="91" t="inlineStr">
        <is>
          <t>NZE</t>
        </is>
      </c>
      <c r="B29" s="92" t="inlineStr">
        <is>
          <t>Natural gas TTF price (€/MWh)</t>
        </is>
      </c>
      <c r="C29" s="93" t="inlineStr">
        <is>
          <t>S-IEA-WEO24</t>
        </is>
      </c>
      <c r="D29" s="94" t="n">
        <v>30</v>
      </c>
      <c r="E29" s="94" t="n">
        <v>22</v>
      </c>
      <c r="F29" s="94" t="n">
        <v>18</v>
      </c>
      <c r="G29" s="94" t="n">
        <v>15</v>
      </c>
      <c r="H29" s="94" t="n">
        <v>12</v>
      </c>
      <c r="I29" s="94" t="n">
        <v>10</v>
      </c>
      <c r="J29" s="95" t="inlineStr">
        <is>
          <t>✓ NZE: queda acentuada de procura de gás → excesso de oferta LNG → pressão em baixa. IEA WEO 2024 NZE: 'In NZE, gas demand falls sharply.' TTF 2050=€10/MWh implica colapso quase total da procura de gás europeia. Coerente com NZE (mas nunca zero — indústria residual). ✓</t>
        </is>
      </c>
      <c r="K29" s="96" t="inlineStr">
        <is>
          <t>✓</t>
        </is>
      </c>
    </row>
    <row r="30" ht="72" customHeight="1" s="68">
      <c r="A30" s="91" t="inlineStr">
        <is>
          <t>NZE</t>
        </is>
      </c>
      <c r="B30" s="92" t="inlineStr">
        <is>
          <t>Crude oil price (USD/bbl)</t>
        </is>
      </c>
      <c r="C30" s="93" t="inlineStr">
        <is>
          <t>S-IEA-WEO24</t>
        </is>
      </c>
      <c r="D30" s="94" t="n">
        <v>75</v>
      </c>
      <c r="E30" s="94" t="n">
        <v>60</v>
      </c>
      <c r="F30" s="94" t="n">
        <v>50</v>
      </c>
      <c r="G30" s="94" t="n">
        <v>42</v>
      </c>
      <c r="H30" s="94" t="n">
        <v>35</v>
      </c>
      <c r="I30" s="94" t="n">
        <v>30</v>
      </c>
      <c r="J30" s="95" t="inlineStr">
        <is>
          <t>✓ IEA WEO 2024: 'In NZE, oil price drops to operating costs of marginal project to meet falling demand.' NZE 2050=$30/bbl = near breakeven cost for legacy production. Coerente com IEA NZE pathway. ✓</t>
        </is>
      </c>
      <c r="K30" s="96" t="inlineStr">
        <is>
          <t>✓</t>
        </is>
      </c>
    </row>
    <row r="32" ht="48" customHeight="1" s="68">
      <c r="A32" s="87" t="inlineStr">
        <is>
          <t>═══ NOTAS CRÍTICAS DE VALIDAÇÃO ═══</t>
        </is>
      </c>
      <c r="B32" s="88" t="n"/>
      <c r="C32" s="88" t="n"/>
      <c r="D32" s="88" t="n"/>
      <c r="E32" s="88" t="n"/>
      <c r="F32" s="88" t="n"/>
      <c r="G32" s="88" t="n"/>
      <c r="H32" s="88" t="n"/>
      <c r="I32" s="88" t="n"/>
      <c r="J32" s="88" t="n"/>
      <c r="K32" s="88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01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4"/>
  <cols>
    <col width="12" customWidth="1" style="68" min="1" max="1"/>
    <col width="16" customWidth="1" style="68" min="2" max="2"/>
    <col width="36" customWidth="1" style="68" min="3" max="3"/>
    <col width="22" customWidth="1" style="68" min="4" max="4"/>
    <col width="8" customWidth="1" style="68" min="5" max="5"/>
    <col width="36" customWidth="1" style="68" min="6" max="6"/>
    <col width="12" customWidth="1" style="68" min="7" max="7"/>
    <col width="18" customWidth="1" style="68" min="8" max="9"/>
    <col width="28" customWidth="1" style="68" min="10" max="10"/>
  </cols>
  <sheetData>
    <row r="1" ht="64.5" customHeight="1" s="68">
      <c r="A1" s="11" t="inlineStr">
        <is>
          <t>Source_ID</t>
        </is>
      </c>
      <c r="B1" s="11" t="inlineStr">
        <is>
          <t>Type (Annual report / Sustainability report / CDP / TCFD / Press release / IEA / IRENA / Academic / Regulatory / Database)</t>
        </is>
      </c>
      <c r="C1" s="11" t="inlineStr">
        <is>
          <t>Title</t>
        </is>
      </c>
      <c r="D1" s="11" t="inlineStr">
        <is>
          <t>Organisation / Publisher</t>
        </is>
      </c>
      <c r="E1" s="11" t="inlineStr">
        <is>
          <t>Year</t>
        </is>
      </c>
      <c r="F1" s="11" t="inlineStr">
        <is>
          <t>URL / DOI</t>
        </is>
      </c>
      <c r="G1" s="11" t="inlineStr">
        <is>
          <t>Access date</t>
        </is>
      </c>
      <c r="H1" s="11" t="inlineStr">
        <is>
          <t>Pages / specific reference</t>
        </is>
      </c>
      <c r="I1" s="11" t="inlineStr">
        <is>
          <t>Used in sheet(s)</t>
        </is>
      </c>
      <c r="J1" s="11" t="inlineStr">
        <is>
          <t>Notes</t>
        </is>
      </c>
    </row>
    <row r="2" ht="26.25" customHeight="1" s="68">
      <c r="A2" s="14" t="inlineStr">
        <is>
          <t>S-IEA-WEO</t>
        </is>
      </c>
      <c r="B2" s="14" t="inlineStr">
        <is>
          <t>IEA / Database</t>
        </is>
      </c>
      <c r="C2" s="14" t="inlineStr">
        <is>
          <t>World Energy Outlook (latest edition)</t>
        </is>
      </c>
      <c r="D2" s="14" t="inlineStr">
        <is>
          <t>International Energy Agency</t>
        </is>
      </c>
      <c r="E2" s="14" t="n"/>
      <c r="F2" s="14" t="inlineStr">
        <is>
          <t>https://www.iea.org/reports/world-energy-outlook</t>
        </is>
      </c>
      <c r="G2" s="14" t="n"/>
      <c r="H2" s="14" t="n"/>
      <c r="I2" s="14" t="inlineStr">
        <is>
          <t>10_Climate_Scenarios</t>
        </is>
      </c>
      <c r="J2" s="14" t="inlineStr">
        <is>
          <t>Annual reference for STEPS / APS / NZE trajectories</t>
        </is>
      </c>
    </row>
    <row r="3" ht="39" customHeight="1" s="68">
      <c r="A3" s="14" t="inlineStr">
        <is>
          <t>S-IEA-HYDB</t>
        </is>
      </c>
      <c r="B3" s="14" t="inlineStr">
        <is>
          <t>IEA / Database</t>
        </is>
      </c>
      <c r="C3" s="14" t="inlineStr">
        <is>
          <t>Hydrogen Projects Database</t>
        </is>
      </c>
      <c r="D3" s="14" t="inlineStr">
        <is>
          <t>International Energy Agency</t>
        </is>
      </c>
      <c r="E3" s="14" t="n"/>
      <c r="F3" s="14" t="inlineStr">
        <is>
          <t>https://www.iea.org/data-and-statistics/data-product/hydrogen-projects-database</t>
        </is>
      </c>
      <c r="G3" s="14" t="n"/>
      <c r="H3" s="14" t="n"/>
      <c r="I3" s="14" t="inlineStr">
        <is>
          <t>04_GreenH2_Projects</t>
        </is>
      </c>
      <c r="J3" s="14" t="inlineStr">
        <is>
          <t>Global database of announced and operational H₂ projects</t>
        </is>
      </c>
    </row>
    <row r="4" ht="26.25" customHeight="1" s="68">
      <c r="A4" s="14" t="inlineStr">
        <is>
          <t>S-IRENA-CT</t>
        </is>
      </c>
      <c r="B4" s="14" t="inlineStr">
        <is>
          <t>IRENA / Database</t>
        </is>
      </c>
      <c r="C4" s="14" t="inlineStr">
        <is>
          <t>Renewable Power Generation Costs</t>
        </is>
      </c>
      <c r="D4" s="14" t="inlineStr">
        <is>
          <t>IRENA</t>
        </is>
      </c>
      <c r="E4" s="14" t="n"/>
      <c r="F4" s="14" t="inlineStr">
        <is>
          <t>https://www.irena.org/publications</t>
        </is>
      </c>
      <c r="G4" s="14" t="n"/>
      <c r="H4" s="14" t="n"/>
      <c r="I4" s="14" t="inlineStr">
        <is>
          <t>09_Cost_Params_MC</t>
        </is>
      </c>
      <c r="J4" s="14" t="inlineStr">
        <is>
          <t>CAPEX / LCOE benchmarks for renewables</t>
        </is>
      </c>
    </row>
    <row r="5" ht="26.25" customHeight="1" s="68">
      <c r="A5" s="14" t="inlineStr">
        <is>
          <t>S-CHP</t>
        </is>
      </c>
      <c r="B5" s="14" t="inlineStr">
        <is>
          <t>Regulatory</t>
        </is>
      </c>
      <c r="C5" s="14" t="inlineStr">
        <is>
          <t>Clean Hydrogen Partnership — funded projects</t>
        </is>
      </c>
      <c r="D5" s="14" t="inlineStr">
        <is>
          <t>Clean Hydrogen JU (EU)</t>
        </is>
      </c>
      <c r="E5" s="14" t="n"/>
      <c r="F5" s="14" t="inlineStr">
        <is>
          <t>https://www.clean-hydrogen.europa.eu/</t>
        </is>
      </c>
      <c r="G5" s="14" t="n"/>
      <c r="H5" s="14" t="n"/>
      <c r="I5" s="14" t="inlineStr">
        <is>
          <t>04_GreenH2_Projects</t>
        </is>
      </c>
      <c r="J5" s="14" t="inlineStr">
        <is>
          <t>EU public funding for H₂ projects</t>
        </is>
      </c>
    </row>
    <row r="6" ht="26.25" customHeight="1" s="68">
      <c r="A6" s="14" t="inlineStr">
        <is>
          <t>S-CONCAWE</t>
        </is>
      </c>
      <c r="B6" s="14" t="inlineStr">
        <is>
          <t>Database</t>
        </is>
      </c>
      <c r="C6" s="14" t="inlineStr">
        <is>
          <t>EU Refining Industry Statistics</t>
        </is>
      </c>
      <c r="D6" s="14" t="inlineStr">
        <is>
          <t>Concawe</t>
        </is>
      </c>
      <c r="E6" s="14" t="n"/>
      <c r="F6" s="14" t="inlineStr">
        <is>
          <t>https://www.concawe.eu/</t>
        </is>
      </c>
      <c r="G6" s="14" t="n"/>
      <c r="H6" s="14" t="n"/>
      <c r="I6" s="14" t="inlineStr">
        <is>
          <t>02_Refinery_Inventory</t>
        </is>
      </c>
      <c r="J6" s="14" t="inlineStr">
        <is>
          <t>EU refinery inventory &amp; throughput</t>
        </is>
      </c>
    </row>
    <row r="7" ht="26.25" customHeight="1" s="68">
      <c r="A7" s="14" t="inlineStr">
        <is>
          <t>S-ENTSOE</t>
        </is>
      </c>
      <c r="B7" s="14" t="inlineStr">
        <is>
          <t>Database</t>
        </is>
      </c>
      <c r="C7" s="14" t="inlineStr">
        <is>
          <t>Transparency Platform (electricity prices, generation, flows)</t>
        </is>
      </c>
      <c r="D7" s="14" t="inlineStr">
        <is>
          <t>ENTSO-E</t>
        </is>
      </c>
      <c r="E7" s="14" t="n"/>
      <c r="F7" s="14" t="inlineStr">
        <is>
          <t>https://transparency.entsoe.eu/</t>
        </is>
      </c>
      <c r="G7" s="14" t="n"/>
      <c r="H7" s="14" t="n"/>
      <c r="I7" s="14" t="inlineStr">
        <is>
          <t>10_Climate_Scenarios</t>
        </is>
      </c>
      <c r="J7" s="14" t="inlineStr">
        <is>
          <t>Hourly EU electricity prices and CO₂ intensity</t>
        </is>
      </c>
    </row>
    <row r="8" ht="26.25" customHeight="1" s="68">
      <c r="A8" s="14" t="inlineStr">
        <is>
          <t>S-SBTI</t>
        </is>
      </c>
      <c r="B8" s="14" t="inlineStr">
        <is>
          <t>Database</t>
        </is>
      </c>
      <c r="C8" s="14" t="inlineStr">
        <is>
          <t>Science Based Targets initiative — Companies taking action</t>
        </is>
      </c>
      <c r="D8" s="14" t="inlineStr">
        <is>
          <t>SBTi</t>
        </is>
      </c>
      <c r="E8" s="14" t="n"/>
      <c r="F8" s="14" t="inlineStr">
        <is>
          <t>https://sciencebasedtargets.org/companies-taking-action</t>
        </is>
      </c>
      <c r="G8" s="14" t="n"/>
      <c r="H8" s="14" t="n"/>
      <c r="I8" s="14" t="inlineStr">
        <is>
          <t>07_Decarb_Targets</t>
        </is>
      </c>
      <c r="J8" s="14" t="inlineStr">
        <is>
          <t>Validation status of corporate climate targets</t>
        </is>
      </c>
    </row>
    <row r="9" ht="39" customHeight="1" s="68">
      <c r="A9" s="14" t="inlineStr">
        <is>
          <t>S-CDP</t>
        </is>
      </c>
      <c r="B9" s="14" t="inlineStr">
        <is>
          <t>Database</t>
        </is>
      </c>
      <c r="C9" s="14" t="inlineStr">
        <is>
          <t>CDP Climate Change Disclosure</t>
        </is>
      </c>
      <c r="D9" s="14" t="inlineStr">
        <is>
          <t>CDP</t>
        </is>
      </c>
      <c r="E9" s="14" t="n"/>
      <c r="F9" s="14" t="inlineStr">
        <is>
          <t>https://www.cdp.net/en</t>
        </is>
      </c>
      <c r="G9" s="14" t="n"/>
      <c r="H9" s="14" t="n"/>
      <c r="I9" s="14" t="inlineStr">
        <is>
          <t>07_Decarb_Targets, 08_Financial_Disclosures</t>
        </is>
      </c>
      <c r="J9" s="14" t="inlineStr">
        <is>
          <t>Company climate disclosures</t>
        </is>
      </c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</row>
    <row r="11" ht="82.8" customHeight="1" s="68">
      <c r="A11" s="15" t="inlineStr">
        <is>
          <t>S-SHELL-AR24</t>
        </is>
      </c>
      <c r="B11" s="15" t="inlineStr">
        <is>
          <t>Annual report</t>
        </is>
      </c>
      <c r="C11" s="15" t="inlineStr">
        <is>
          <t>Shell plc Annual Report 2024</t>
        </is>
      </c>
      <c r="D11" s="15" t="inlineStr">
        <is>
          <t>Shell plc</t>
        </is>
      </c>
      <c r="E11" s="15" t="n">
        <v>2024</v>
      </c>
      <c r="F11" s="15" t="inlineStr">
        <is>
          <t>https://reports.shell.com/annual-report/2024/</t>
        </is>
      </c>
      <c r="G11" s="15" t="inlineStr">
        <is>
          <t>2025-04</t>
        </is>
      </c>
      <c r="H11" s="15" t="inlineStr">
        <is>
          <t>Strategic Report; Financial Statements</t>
        </is>
      </c>
      <c r="I11" s="15" t="inlineStr">
        <is>
          <t>01_Company_Overview, 07_Decarb_Targets, 08_Financial_Disclosures</t>
        </is>
      </c>
      <c r="J11" s="15" t="inlineStr">
        <is>
          <t>FY2024 disclosures</t>
        </is>
      </c>
    </row>
    <row r="12" ht="41.4" customHeight="1" s="68">
      <c r="A12" s="15" t="inlineStr">
        <is>
          <t>S-SHELL-Q4-2024</t>
        </is>
      </c>
      <c r="B12" s="15" t="inlineStr">
        <is>
          <t>Press release</t>
        </is>
      </c>
      <c r="C12" s="15" t="inlineStr">
        <is>
          <t>Q4 2024 Unaudited Results</t>
        </is>
      </c>
      <c r="D12" s="15" t="inlineStr">
        <is>
          <t>Shell plc</t>
        </is>
      </c>
      <c r="E12" s="15" t="n">
        <v>2025</v>
      </c>
      <c r="F12" s="15" t="inlineStr">
        <is>
          <t>https://www.sec.gov/Archives/edgar/data/0001306965/000130696525000003/q42024exhibit992.htm</t>
        </is>
      </c>
      <c r="G12" s="15" t="inlineStr">
        <is>
          <t>2025-04</t>
        </is>
      </c>
      <c r="H12" s="15" t="inlineStr">
        <is>
          <t>Cash capex tables</t>
        </is>
      </c>
      <c r="I12" s="15" t="inlineStr">
        <is>
          <t>08_Financial_Disclosures</t>
        </is>
      </c>
      <c r="J12" s="15" t="inlineStr">
        <is>
          <t>Total cash capex $21.1bn 2024</t>
        </is>
      </c>
    </row>
    <row r="13" ht="82.8" customHeight="1" s="68">
      <c r="A13" s="15" t="inlineStr">
        <is>
          <t>S-TTE-FR24</t>
        </is>
      </c>
      <c r="B13" s="15" t="inlineStr">
        <is>
          <t>Annual report</t>
        </is>
      </c>
      <c r="C13" s="15" t="inlineStr">
        <is>
          <t>Form 20-F / Universal Registration Document 2024</t>
        </is>
      </c>
      <c r="D13" s="15" t="inlineStr">
        <is>
          <t>TotalEnergies SE</t>
        </is>
      </c>
      <c r="E13" s="15" t="n">
        <v>2024</v>
      </c>
      <c r="F13" s="15" t="inlineStr">
        <is>
          <t>https://totalenergies.com/investors/publications-and-regulated-information</t>
        </is>
      </c>
      <c r="G13" s="15" t="inlineStr">
        <is>
          <t>2025-04</t>
        </is>
      </c>
      <c r="H13" s="15" t="inlineStr">
        <is>
          <t>Financial chapters; Strategy &amp; Outlook</t>
        </is>
      </c>
      <c r="I13" s="15" t="inlineStr">
        <is>
          <t>01_Company_Overview, 07_Decarb_Targets, 08_Financial_Disclosures</t>
        </is>
      </c>
      <c r="J13" s="15" t="inlineStr">
        <is>
          <t>FY2024 results; $4-5bn/y in low-carbon energies</t>
        </is>
      </c>
    </row>
    <row r="14" ht="55.2" customHeight="1" s="68">
      <c r="A14" s="15" t="inlineStr">
        <is>
          <t>S-TTE-SC24</t>
        </is>
      </c>
      <c r="B14" s="15" t="inlineStr">
        <is>
          <t>Sustainability report</t>
        </is>
      </c>
      <c r="C14" s="15" t="inlineStr">
        <is>
          <t>Sustainability &amp; Climate Progress Report 2024</t>
        </is>
      </c>
      <c r="D14" s="15" t="inlineStr">
        <is>
          <t>TotalEnergies SE</t>
        </is>
      </c>
      <c r="E14" s="15" t="n">
        <v>2024</v>
      </c>
      <c r="F14" s="15" t="inlineStr">
        <is>
          <t>https://totalenergies.com/sustainability/reporting-center</t>
        </is>
      </c>
      <c r="G14" s="15" t="inlineStr">
        <is>
          <t>2025-04</t>
        </is>
      </c>
      <c r="H14" s="15" t="inlineStr">
        <is>
          <t>Climate targets; refinery decarbonisation</t>
        </is>
      </c>
      <c r="I14" s="15" t="inlineStr">
        <is>
          <t>07_Decarb_Targets, 04_GreenH2_Projects</t>
        </is>
      </c>
      <c r="J14" s="15" t="inlineStr">
        <is>
          <t>Ambition: decarbonise all H2 used in EU refineries by 2030 (-3 Mt CO2/y)</t>
        </is>
      </c>
    </row>
    <row r="15" ht="82.8" customHeight="1" s="68">
      <c r="A15" s="15" t="inlineStr">
        <is>
          <t>S-BP-AR24</t>
        </is>
      </c>
      <c r="B15" s="15" t="inlineStr">
        <is>
          <t>Annual report</t>
        </is>
      </c>
      <c r="C15" s="15" t="inlineStr">
        <is>
          <t>bp Annual Report and Form 20-F 2024</t>
        </is>
      </c>
      <c r="D15" s="15" t="inlineStr">
        <is>
          <t>bp plc</t>
        </is>
      </c>
      <c r="E15" s="15" t="n">
        <v>2024</v>
      </c>
      <c r="F15" s="15" t="inlineStr">
        <is>
          <t>https://www.bp.com/en/global/corporate/investors/results-and-reporting/annual-report.html</t>
        </is>
      </c>
      <c r="G15" s="15" t="inlineStr">
        <is>
          <t>2025-04</t>
        </is>
      </c>
      <c r="H15" s="15" t="inlineStr">
        <is>
          <t>Strategy; segment performance</t>
        </is>
      </c>
      <c r="I15" s="15" t="inlineStr">
        <is>
          <t>01_Company_Overview, 07_Decarb_Targets, 08_Financial_Disclosures</t>
        </is>
      </c>
      <c r="J15" s="15" t="inlineStr">
        <is>
          <t>FY2024 capex c.$16bn; transition strategy reset Feb 2025</t>
        </is>
      </c>
    </row>
    <row r="16" ht="82.8" customHeight="1" s="68">
      <c r="A16" s="15" t="inlineStr">
        <is>
          <t>S-ENI-AR24</t>
        </is>
      </c>
      <c r="B16" s="15" t="inlineStr">
        <is>
          <t>Annual report</t>
        </is>
      </c>
      <c r="C16" s="15" t="inlineStr">
        <is>
          <t>Eni Annual Report 2024</t>
        </is>
      </c>
      <c r="D16" s="15" t="inlineStr">
        <is>
          <t>Eni S.p.A.</t>
        </is>
      </c>
      <c r="E16" s="15" t="n">
        <v>2024</v>
      </c>
      <c r="F16" s="15" t="inlineStr">
        <is>
          <t>https://report.eni.com/annual-report-2024/en/</t>
        </is>
      </c>
      <c r="G16" s="15" t="inlineStr">
        <is>
          <t>2025-05</t>
        </is>
      </c>
      <c r="H16" s="15" t="inlineStr">
        <is>
          <t>Strategy; transition spending</t>
        </is>
      </c>
      <c r="I16" s="15" t="inlineStr">
        <is>
          <t>01_Company_Overview, 07_Decarb_Targets, 08_Financial_Disclosures</t>
        </is>
      </c>
      <c r="J16" s="15" t="inlineStr">
        <is>
          <t>Refinery conversion + biorefineries; satellite model</t>
        </is>
      </c>
    </row>
    <row r="17" ht="110.4" customHeight="1" s="68">
      <c r="A17" s="15" t="inlineStr">
        <is>
          <t>S-REPSOL-AR24</t>
        </is>
      </c>
      <c r="B17" s="15" t="inlineStr">
        <is>
          <t>Annual report</t>
        </is>
      </c>
      <c r="C17" s="15" t="inlineStr">
        <is>
          <t>Repsol Integrated Management Report 2024</t>
        </is>
      </c>
      <c r="D17" s="15" t="inlineStr">
        <is>
          <t>Repsol S.A.</t>
        </is>
      </c>
      <c r="E17" s="15" t="n">
        <v>2024</v>
      </c>
      <c r="F17" s="15" t="inlineStr">
        <is>
          <t>https://www.repsol.com/en/shareholders-and-investors/annual-reports/index.cshtml</t>
        </is>
      </c>
      <c r="G17" s="15" t="inlineStr">
        <is>
          <t>2025-04</t>
        </is>
      </c>
      <c r="H17" s="15" t="inlineStr">
        <is>
          <t>Financial and sustainability sections</t>
        </is>
      </c>
      <c r="I17" s="15" t="inlineStr">
        <is>
          <t>01_Company_Overview, 07_Decarb_Targets, 08_Financial_Disclosures, 04_GreenH2_Projects</t>
        </is>
      </c>
      <c r="J17" s="15" t="inlineStr">
        <is>
          <t>Renewable H2 in Cartagena, Petronor, Tarragona, Puertollano</t>
        </is>
      </c>
    </row>
    <row r="18" ht="55.2" customHeight="1" s="68">
      <c r="A18" s="15" t="inlineStr">
        <is>
          <t>S-REPSOL-2427</t>
        </is>
      </c>
      <c r="B18" s="15" t="inlineStr">
        <is>
          <t>Investor update</t>
        </is>
      </c>
      <c r="C18" s="15" t="inlineStr">
        <is>
          <t>Repsol 2024-2027 Strategic Update</t>
        </is>
      </c>
      <c r="D18" s="15" t="inlineStr">
        <is>
          <t>Repsol S.A.</t>
        </is>
      </c>
      <c r="E18" s="15" t="n">
        <v>2024</v>
      </c>
      <c r="F18" s="15" t="inlineStr">
        <is>
          <t>https://www.repsol.com/content/dam/repsol-corporate/en_gb/conocenos/repsol-2024-2027-infographic.pdf</t>
        </is>
      </c>
      <c r="G18" s="15" t="inlineStr">
        <is>
          <t>2025-04</t>
        </is>
      </c>
      <c r="H18" s="15" t="inlineStr">
        <is>
          <t>&gt;35% capex to low-carbon</t>
        </is>
      </c>
      <c r="I18" s="15" t="inlineStr">
        <is>
          <t>01_Company_Overview, 08_Financial_Disclosures</t>
        </is>
      </c>
      <c r="J18" s="15" t="inlineStr">
        <is>
          <t>Renewable fuels + H2 targets 1.5-1.7 Mt by 2027</t>
        </is>
      </c>
    </row>
    <row r="19" ht="82.8" customHeight="1" s="68">
      <c r="A19" s="15" t="inlineStr">
        <is>
          <t>S-CHM2025</t>
        </is>
      </c>
      <c r="B19" s="15" t="inlineStr">
        <is>
          <t>External estimate</t>
        </is>
      </c>
      <c r="C19" s="15" t="inlineStr">
        <is>
          <t>Clean Hydrogen Monitor 2025</t>
        </is>
      </c>
      <c r="D19" s="15" t="inlineStr">
        <is>
          <t>Hydrogen Europe</t>
        </is>
      </c>
      <c r="E19" s="15" t="n">
        <v>2025</v>
      </c>
      <c r="F19" s="15" t="inlineStr">
        <is>
          <t>https://hydrogeneurope.eu/clean-hydrogen-monitor/</t>
        </is>
      </c>
      <c r="G19" s="15" t="inlineStr">
        <is>
          <t>2025-09</t>
        </is>
      </c>
      <c r="H19" s="15" t="inlineStr">
        <is>
          <t>Full report</t>
        </is>
      </c>
      <c r="I19" s="15" t="inlineStr">
        <is>
          <t>01_Company_Overview, 03_Current_H2_Demand, 04_GreenH2_Projects</t>
        </is>
      </c>
      <c r="J19" s="15" t="inlineStr">
        <is>
          <t>European H2 market 2024 review and 2030 outlook</t>
        </is>
      </c>
    </row>
    <row r="20" ht="41.4" customHeight="1" s="68">
      <c r="A20" s="15" t="inlineStr">
        <is>
          <t>S-CONCAWE-2024</t>
        </is>
      </c>
      <c r="B20" s="15" t="inlineStr">
        <is>
          <t>Database</t>
        </is>
      </c>
      <c r="C20" s="15" t="inlineStr">
        <is>
          <t>Concawe European Refinery Capacities 2024</t>
        </is>
      </c>
      <c r="D20" s="15" t="inlineStr">
        <is>
          <t>Concawe</t>
        </is>
      </c>
      <c r="E20" s="15" t="n">
        <v>2024</v>
      </c>
      <c r="F20" s="15" t="inlineStr">
        <is>
          <t>https://www.concawe.eu/refineries-map/</t>
        </is>
      </c>
      <c r="G20" s="15" t="inlineStr">
        <is>
          <t>2025-04</t>
        </is>
      </c>
      <c r="H20" s="15" t="inlineStr">
        <is>
          <t>Map and accompanying spreadsheet</t>
        </is>
      </c>
      <c r="I20" s="15" t="inlineStr">
        <is>
          <t>02_Refinery_Inventory</t>
        </is>
      </c>
      <c r="J20" s="15" t="inlineStr">
        <is>
          <t>Workbook-internal sheet temp_concawe holds extract</t>
        </is>
      </c>
    </row>
    <row r="21" ht="41.4" customHeight="1" s="68">
      <c r="A21" s="15" t="inlineStr">
        <is>
          <t>S-IEA-WEO24</t>
        </is>
      </c>
      <c r="B21" s="15" t="inlineStr">
        <is>
          <t>External estimate</t>
        </is>
      </c>
      <c r="C21" s="15" t="inlineStr">
        <is>
          <t>World Energy Outlook 2024</t>
        </is>
      </c>
      <c r="D21" s="15" t="inlineStr">
        <is>
          <t>International Energy Agency</t>
        </is>
      </c>
      <c r="E21" s="15" t="n">
        <v>2024</v>
      </c>
      <c r="F21" s="15" t="inlineStr">
        <is>
          <t>https://www.iea.org/reports/world-energy-outlook-2024</t>
        </is>
      </c>
      <c r="G21" s="15" t="inlineStr">
        <is>
          <t>2025-04</t>
        </is>
      </c>
      <c r="H21" s="15" t="inlineStr">
        <is>
          <t>Annex A; STEPS/APS/NZE assumptions</t>
        </is>
      </c>
      <c r="I21" s="15" t="inlineStr">
        <is>
          <t>10_Climate_Scenarios</t>
        </is>
      </c>
      <c r="J21" s="15" t="inlineStr">
        <is>
          <t>Carbon prices, fuel prices, grid intensity projections</t>
        </is>
      </c>
    </row>
    <row r="22" ht="41.4" customHeight="1" s="68">
      <c r="A22" s="15" t="inlineStr">
        <is>
          <t>S-IEA-GHR24</t>
        </is>
      </c>
      <c r="B22" s="15" t="inlineStr">
        <is>
          <t>External estimate</t>
        </is>
      </c>
      <c r="C22" s="15" t="inlineStr">
        <is>
          <t>Global Hydrogen Review 2024</t>
        </is>
      </c>
      <c r="D22" s="15" t="inlineStr">
        <is>
          <t>International Energy Agency</t>
        </is>
      </c>
      <c r="E22" s="15" t="n">
        <v>2024</v>
      </c>
      <c r="F22" s="15" t="inlineStr">
        <is>
          <t>https://www.iea.org/reports/global-hydrogen-review-2024</t>
        </is>
      </c>
      <c r="G22" s="15" t="inlineStr">
        <is>
          <t>2025-04</t>
        </is>
      </c>
      <c r="H22" s="15" t="inlineStr">
        <is>
          <t>Costs &amp; technologies chapters</t>
        </is>
      </c>
      <c r="I22" s="15" t="inlineStr">
        <is>
          <t>09_Cost_Params_MC</t>
        </is>
      </c>
      <c r="J22" s="15" t="inlineStr">
        <is>
          <t>Electrolyser CAPEX and OPEX cost ranges</t>
        </is>
      </c>
    </row>
    <row r="23" ht="41.4" customHeight="1" s="68">
      <c r="A23" s="15" t="inlineStr">
        <is>
          <t>S-IRENA-CT24</t>
        </is>
      </c>
      <c r="B23" s="15" t="inlineStr">
        <is>
          <t>External estimate</t>
        </is>
      </c>
      <c r="C23" s="15" t="inlineStr">
        <is>
          <t>Renewable Power Generation Costs 2023</t>
        </is>
      </c>
      <c r="D23" s="15" t="inlineStr">
        <is>
          <t>IRENA</t>
        </is>
      </c>
      <c r="E23" s="15" t="n">
        <v>2024</v>
      </c>
      <c r="F23" s="15" t="inlineStr">
        <is>
          <t>https://www.irena.org/Publications/2024/Sep/Renewable-Power-Generation-Costs-in-2023</t>
        </is>
      </c>
      <c r="G23" s="15" t="inlineStr">
        <is>
          <t>2025-04</t>
        </is>
      </c>
      <c r="H23" s="15" t="inlineStr">
        <is>
          <t>PV, wind CAPEX ranges</t>
        </is>
      </c>
      <c r="I23" s="15" t="inlineStr">
        <is>
          <t>09_Cost_Params_MC</t>
        </is>
      </c>
      <c r="J23" s="15" t="inlineStr">
        <is>
          <t>EU benchmarks</t>
        </is>
      </c>
    </row>
    <row r="24" ht="41.4" customHeight="1" s="68">
      <c r="A24" s="15" t="inlineStr">
        <is>
          <t>S-CHP-IPCEI</t>
        </is>
      </c>
      <c r="B24" s="15" t="inlineStr">
        <is>
          <t>Regulatory</t>
        </is>
      </c>
      <c r="C24" s="15" t="inlineStr">
        <is>
          <t>IPCEI Hy2Tech / Hy2Use / Hy2Infra / Hy2Move project lists</t>
        </is>
      </c>
      <c r="D24" s="15" t="inlineStr">
        <is>
          <t>European Commission / Clean Hydrogen JU</t>
        </is>
      </c>
      <c r="E24" s="15" t="n">
        <v>2024</v>
      </c>
      <c r="F24" s="15" t="inlineStr">
        <is>
          <t>https://www.clean-hydrogen.europa.eu/get-involved/ipcei-hydrogen_en</t>
        </is>
      </c>
      <c r="G24" s="15" t="inlineStr">
        <is>
          <t>2025-04</t>
        </is>
      </c>
      <c r="H24" s="15" t="inlineStr">
        <is>
          <t>Project mapping by company</t>
        </is>
      </c>
      <c r="I24" s="15" t="inlineStr">
        <is>
          <t>04_GreenH2_Projects</t>
        </is>
      </c>
      <c r="J24" s="15" t="inlineStr">
        <is>
          <t>EU public funding allocations</t>
        </is>
      </c>
    </row>
    <row r="25" ht="41.4" customHeight="1" s="68">
      <c r="A25" s="15" t="inlineStr">
        <is>
          <t>S-EHB-A1</t>
        </is>
      </c>
      <c r="B25" s="15" t="inlineStr">
        <is>
          <t>Regulatory</t>
        </is>
      </c>
      <c r="C25" s="15" t="inlineStr">
        <is>
          <t>European Hydrogen Bank — Pilot Auction Results</t>
        </is>
      </c>
      <c r="D25" s="15" t="inlineStr">
        <is>
          <t>European Commission CINEA</t>
        </is>
      </c>
      <c r="E25" s="15" t="n">
        <v>2024</v>
      </c>
      <c r="F25" s="15" t="inlineStr">
        <is>
          <t>https://cinea.ec.europa.eu/programmes/innovation-fund/european-hydrogen-bank_en</t>
        </is>
      </c>
      <c r="G25" s="15" t="inlineStr">
        <is>
          <t>2025-04</t>
        </is>
      </c>
      <c r="H25" s="15" t="inlineStr">
        <is>
          <t>Winners list</t>
        </is>
      </c>
      <c r="I25" s="15" t="inlineStr">
        <is>
          <t>04_GreenH2_Projects</t>
        </is>
      </c>
      <c r="J25" s="15" t="inlineStr">
        <is>
          <t>7 winners selected April 2024</t>
        </is>
      </c>
    </row>
    <row r="26" ht="41.4" customHeight="1" s="68">
      <c r="A26" s="15" t="inlineStr">
        <is>
          <t>S-EHB-A2</t>
        </is>
      </c>
      <c r="B26" s="15" t="inlineStr">
        <is>
          <t>Regulatory</t>
        </is>
      </c>
      <c r="C26" s="15" t="inlineStr">
        <is>
          <t>European Hydrogen Bank — 2nd Auction Results</t>
        </is>
      </c>
      <c r="D26" s="15" t="inlineStr">
        <is>
          <t>European Commission CINEA</t>
        </is>
      </c>
      <c r="E26" s="15" t="n">
        <v>2025</v>
      </c>
      <c r="F26" s="15" t="inlineStr">
        <is>
          <t>https://cinea.ec.europa.eu/programmes/innovation-fund/european-hydrogen-bank_en</t>
        </is>
      </c>
      <c r="G26" s="15" t="inlineStr">
        <is>
          <t>2025-09</t>
        </is>
      </c>
      <c r="H26" s="15" t="inlineStr">
        <is>
          <t>Winners list 2nd round</t>
        </is>
      </c>
      <c r="I26" s="15" t="inlineStr">
        <is>
          <t>04_GreenH2_Projects</t>
        </is>
      </c>
      <c r="J26" s="15" t="inlineStr">
        <is>
          <t>Avg LCOH 7.1 €/kg (Spain 5.5 €/kg)</t>
        </is>
      </c>
    </row>
    <row r="27" ht="41.4" customHeight="1" s="68">
      <c r="A27" s="15" t="inlineStr">
        <is>
          <t>S-IEA-HPDB25</t>
        </is>
      </c>
      <c r="B27" s="15" t="inlineStr">
        <is>
          <t>Database</t>
        </is>
      </c>
      <c r="C27" s="15" t="inlineStr">
        <is>
          <t>IEA Hydrogen Production Projects Database (Sep 2025)</t>
        </is>
      </c>
      <c r="D27" s="15" t="inlineStr">
        <is>
          <t>International Energy Agency</t>
        </is>
      </c>
      <c r="E27" s="15" t="n">
        <v>2025</v>
      </c>
      <c r="F27" s="15" t="inlineStr">
        <is>
          <t>https://www.iea.org/data-and-statistics/data-product/hydrogen-production-projects-database</t>
        </is>
      </c>
      <c r="G27" s="15" t="inlineStr">
        <is>
          <t>2025-09</t>
        </is>
      </c>
      <c r="H27" s="15" t="inlineStr">
        <is>
          <t>Full extract (file uploaded)</t>
        </is>
      </c>
      <c r="I27" s="15" t="inlineStr">
        <is>
          <t>04_GreenH2_Projects</t>
        </is>
      </c>
      <c r="J27" s="15" t="inlineStr">
        <is>
          <t>Source for project capacities, COD, technology</t>
        </is>
      </c>
    </row>
    <row r="28" ht="27.6" customHeight="1" s="68">
      <c r="A28" s="15" t="inlineStr">
        <is>
          <t>S-SBTI-25</t>
        </is>
      </c>
      <c r="B28" s="15" t="inlineStr">
        <is>
          <t>Database</t>
        </is>
      </c>
      <c r="C28" s="15" t="inlineStr">
        <is>
          <t>Science Based Targets initiative — Companies Taking Action</t>
        </is>
      </c>
      <c r="D28" s="15" t="inlineStr">
        <is>
          <t>SBTi</t>
        </is>
      </c>
      <c r="E28" s="15" t="n">
        <v>2025</v>
      </c>
      <c r="F28" s="15" t="inlineStr">
        <is>
          <t>https://sciencebasedtargets.org/companies-taking-action</t>
        </is>
      </c>
      <c r="G28" s="15" t="inlineStr">
        <is>
          <t>2025-09</t>
        </is>
      </c>
      <c r="H28" s="15" t="inlineStr">
        <is>
          <t>Filtering by company name</t>
        </is>
      </c>
      <c r="I28" s="15" t="inlineStr">
        <is>
          <t>07_Decarb_Targets</t>
        </is>
      </c>
      <c r="J28" s="15" t="inlineStr">
        <is>
          <t>TotalEnergies / Shell / BP / Eni / Repsol validation status</t>
        </is>
      </c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</row>
    <row r="42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</row>
    <row r="82">
      <c r="A82" s="14" t="n"/>
      <c r="B82" s="14" t="n"/>
      <c r="C82" s="14" t="n"/>
      <c r="D82" s="14" t="n"/>
      <c r="E82" s="14" t="n"/>
      <c r="F82" s="14" t="n"/>
      <c r="G82" s="14" t="n"/>
      <c r="H82" s="14" t="n"/>
      <c r="I82" s="14" t="n"/>
      <c r="J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2026-05-16T23:17:14Z</dcterms:created>
  <dcterms:modified xsi:type="dcterms:W3CDTF">2026-05-31T22:08:20Z</dcterms:modified>
  <cp:lastModifiedBy>Ernesto Relogio</cp:lastModifiedBy>
  <cp:revision>0</cp:revision>
</cp:coreProperties>
</file>